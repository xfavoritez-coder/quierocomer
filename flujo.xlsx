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Total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tc={031126f3-8e33-4237-be70-a643f90f930b}</author>
    <author>tc={039cb9f5-ebe0-4f40-a95a-aa3b37f3d97b}</author>
    <author>tc={13327caa-cedb-4050-aa16-a9b241980128}</author>
    <author>tc={22c17f84-640b-4b05-9f26-6ee900f6a841}</author>
    <author>tc={249d742b-030d-4846-b7ec-89c2e41c0833}</author>
    <author>tc={6664a904-9f0e-4bb3-8e30-91a1888e4d05}</author>
    <author>tc={7515435a-2bbb-44ea-a540-71fdd014ba63}</author>
    <author>tc={7a111d69-f089-4b79-9a34-53d121b68c46}</author>
    <author>tc={8117fb19-ab14-4ed8-8c5c-bafaece0c3b3}</author>
    <author>tc={86430bc0-7d5d-4490-97b4-4699e0ce2e10}</author>
    <author>tc={893abd3d-1049-4b90-95fa-b961551f8e09}</author>
    <author>tc={92498361-4d08-4f7f-8308-b3688cf31f10}</author>
    <author>tc={a70800c6-b19b-4a51-9959-5a2d2e7e1873}</author>
    <author>tc={b5753ed4-99e2-4a73-8077-dfea660c545b}</author>
    <author>tc={b85f35a2-eac3-4f5c-bca8-cc3fc682e9f8}</author>
    <author>tc={d5e4b8f4-8e98-435b-a635-7094d629b1a5}</author>
    <author>tc={e31b9270-2b2b-49af-9ada-be91401e7f6f}</author>
    <author>tc={e7d403ab-2aca-463b-9a20-deb4e83705dc}</author>
    <author>tc={fe75888b-e0ff-4ff3-8766-5ddcaa4098ce}</author>
  </authors>
  <commentList>
    <comment authorId="0" xr:uid="{031126f3-8e33-4237-be70-a643f90f930b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" xr:uid="{039cb9f5-ebe0-4f40-a95a-aa3b37f3d97b}" ref="A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80.000 charlie
</t>
      </text>
    </comment>
    <comment authorId="2" xr:uid="{13327caa-cedb-4050-aa16-a9b241980128}" ref="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20000 charlie
</t>
      </text>
    </comment>
    <comment authorId="3" xr:uid="{22c17f84-640b-4b05-9f26-6ee900f6a841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20000 Charlie
</t>
      </text>
    </comment>
    <comment authorId="4" xr:uid="{249d742b-030d-4846-b7ec-89c2e41c0833}" ref="X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70.000 charlie
</t>
      </text>
    </comment>
    <comment authorId="5" xr:uid="{6664a904-9f0e-4bb3-8e30-91a1888e4d05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6" xr:uid="{7515435a-2bbb-44ea-a540-71fdd014ba63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7" xr:uid="{7a111d69-f089-4b79-9a34-53d121b68c46}" ref="AC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20.000 adelanto paula
</t>
      </text>
    </comment>
    <comment authorId="8" xr:uid="{8117fb19-ab14-4ed8-8c5c-bafaece0c3b3}" ref="W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Carpetas
</t>
      </text>
    </comment>
    <comment authorId="9" xr:uid="{86430bc0-7d5d-4490-97b4-4699e0ce2e10}" ref="Y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50000 charlie
</t>
      </text>
    </comment>
    <comment authorId="10" xr:uid="{893abd3d-1049-4b90-95fa-b961551f8e09}" ref="A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94000 charlie
</t>
      </text>
    </comment>
    <comment authorId="11" xr:uid="{92498361-4d08-4f7f-8308-b3688cf31f10}" ref="A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20000 charlie
</t>
      </text>
    </comment>
    <comment authorId="12" xr:uid="{a70800c6-b19b-4a51-9959-5a2d2e7e1873}" ref="A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20.000 charlie
</t>
      </text>
    </comment>
    <comment authorId="13" xr:uid="{b5753ed4-99e2-4a73-8077-dfea660c545b}" ref="A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60000 charlie
</t>
      </text>
    </comment>
    <comment authorId="14" xr:uid="{b85f35a2-eac3-4f5c-bca8-cc3fc682e9f8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5" xr:uid="{d5e4b8f4-8e98-435b-a635-7094d629b1a5}" ref="AG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Dic y Ene
</t>
      </text>
    </comment>
    <comment authorId="16" xr:uid="{e31b9270-2b2b-49af-9ada-be91401e7f6f}" ref="W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20000 charlie
</t>
      </text>
    </comment>
    <comment authorId="17" xr:uid="{e7d403ab-2aca-463b-9a20-deb4e83705dc}" ref="A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50000 charlie
</t>
      </text>
    </comment>
    <comment authorId="18" xr:uid="{fe75888b-e0ff-4ff3-8766-5ddcaa4098ce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tc={0bcb69a1-066c-47e7-9b70-88584fc0c44a}</author>
    <author>tc={22e8d62b-1b96-4267-919e-35b0636b523a}</author>
    <author>tc={37f7139c-f40a-4949-a53e-107559e0627a}</author>
    <author>tc={47b2b04c-5003-4365-a377-faa51a9e95ff}</author>
    <author>tc={515330f6-031c-4f72-985d-f95a59db17ce}</author>
    <author>tc={59130fb2-4ea1-40bd-949b-20fd63090607}</author>
    <author>tc={632067ba-0725-4984-af15-df2244bfe1d4}</author>
    <author>tc={696eb44c-acb4-422e-932a-bed1f12b0d01}</author>
    <author>tc={6da5f60d-c487-40b5-b2da-6cc67e6d8f6f}</author>
    <author>tc={711f3114-207d-4044-bc7e-e4c74adcfc70}</author>
    <author>tc={7a8b95b4-33f2-4995-a536-2bed9d94dc74}</author>
    <author>tc={8956e468-2d19-4f17-9bdf-1902ff8f114e}</author>
    <author>tc={98ff9111-ef52-4e09-8399-985e52f2270d}</author>
    <author>tc={9e44b216-8ea1-4917-b825-318884b5abc5}</author>
    <author>tc={a2e08339-35a8-4296-9162-e3638470907b}</author>
    <author>tc={a6e75d63-cb4f-4cd2-8c4c-188f9d2e6dc8}</author>
    <author>tc={ad9e10d3-0d94-471c-a8db-47ee2529e8c6}</author>
    <author>tc={adee7a41-60bf-48a7-bd33-3809bb00f724}</author>
    <author>tc={c18bb13e-1678-4056-9170-b02913f6b2ea}</author>
    <author>tc={d40f45f8-fe25-44bd-b969-b86a03632ca2}</author>
    <author>tc={ddc9467f-a8cc-47e0-be4e-20c474960c1c}</author>
    <author>tc={eac4ba73-c553-46e1-87c1-d069bba0aea3}</author>
    <author>tc={f53c0499-eec5-419e-be59-8ba25606e9d7}</author>
    <author>tc={f8a6cfba-6325-476e-b4e3-4e66fd14ff9d}</author>
    <author>tc={fffe9aa4-9c94-4506-bb07-746faf938f9c}</author>
  </authors>
  <commentList>
    <comment authorId="0" xr:uid="{0bcb69a1-066c-47e7-9b70-88584fc0c44a}" ref="S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vacaciones Maxi
</t>
      </text>
    </comment>
    <comment authorId="1" xr:uid="{22e8d62b-1b96-4267-919e-35b0636b523a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
</t>
      </text>
    </comment>
    <comment authorId="2" xr:uid="{37f7139c-f40a-4949-a53e-107559e0627a}" ref="A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110.000 charlie
</t>
      </text>
    </comment>
    <comment authorId="3" xr:uid="{47b2b04c-5003-4365-a377-faa51a9e95ff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200.000 Charlie
</t>
      </text>
    </comment>
    <comment authorId="4" xr:uid="{515330f6-031c-4f72-985d-f95a59db17ce}" ref="S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adelanto maxi
</t>
      </text>
    </comment>
    <comment authorId="5" xr:uid="{59130fb2-4ea1-40bd-949b-20fd63090607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 150.000
</t>
      </text>
    </comment>
    <comment authorId="6" xr:uid="{632067ba-0725-4984-af15-df2244bfe1d4}" ref="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7" xr:uid="{696eb44c-acb4-422e-932a-bed1f12b0d01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200.000 charlie
</t>
      </text>
    </comment>
    <comment authorId="8" xr:uid="{6da5f60d-c487-40b5-b2da-6cc67e6d8f6f}" ref="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150000 charlie
</t>
      </text>
    </comment>
    <comment authorId="9" xr:uid="{711f3114-207d-4044-bc7e-e4c74adcfc70}" ref="P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flores
</t>
      </text>
    </comment>
    <comment authorId="10" xr:uid="{7a8b95b4-33f2-4995-a536-2bed9d94dc74}" ref="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350.000 Charlie
</t>
      </text>
    </comment>
    <comment authorId="11" xr:uid="{8956e468-2d19-4f17-9bdf-1902ff8f114e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250.000 Charlie
</t>
      </text>
    </comment>
    <comment authorId="12" xr:uid="{98ff9111-ef52-4e09-8399-985e52f2270d}" ref="E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755.213 sueldo charlie 124.000 sueldo Parce
</t>
      </text>
    </comment>
    <comment authorId="13" xr:uid="{9e44b216-8ea1-4917-b825-318884b5abc5}" ref="M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dic, ene, feb
</t>
      </text>
    </comment>
    <comment authorId="14" xr:uid="{a2e08339-35a8-4296-9162-e3638470907b}" ref="X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5" xr:uid="{a6e75d63-cb4f-4cd2-8c4c-188f9d2e6dc8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70.000 Charlie
</t>
      </text>
    </comment>
    <comment authorId="16" xr:uid="{ad9e10d3-0d94-471c-a8db-47ee2529e8c6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7" xr:uid="{adee7a41-60bf-48a7-bd33-3809bb00f724}" ref="F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Bono Horus
</t>
      </text>
    </comment>
    <comment authorId="18" xr:uid="{c18bb13e-1678-4056-9170-b02913f6b2ea}" ref="Y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
</t>
      </text>
    </comment>
    <comment authorId="19" xr:uid="{d40f45f8-fe25-44bd-b969-b86a03632ca2}" ref="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20" xr:uid="{ddc9467f-a8cc-47e0-be4e-20c474960c1c}" ref="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500.000 charlie
</t>
      </text>
    </comment>
    <comment authorId="21" xr:uid="{eac4ba73-c553-46e1-87c1-d069bba0aea3}" ref="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22" xr:uid="{f53c0499-eec5-419e-be59-8ba25606e9d7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80.000 Charlie
</t>
      </text>
    </comment>
    <comment authorId="23" xr:uid="{f8a6cfba-6325-476e-b4e3-4e66fd14ff9d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400.000 charlie
</t>
      </text>
    </comment>
    <comment authorId="24" xr:uid="{fffe9aa4-9c94-4506-bb07-746faf938f9c}" ref="D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Adelanto Cristian 50.000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tc={2308cef0-4782-45b6-bd52-fb9e2838e4d4}</author>
    <author>tc={2a5bcde4-7324-4450-8076-93376b03ad25}</author>
    <author>tc={50d1c067-35f4-4689-8bf4-196ba4c6632e}</author>
    <author>tc={5e4002b3-4b70-4c76-a90c-e60ce75e5a7f}</author>
    <author>tc={81138568-a753-4172-8809-677ea7f2bd1d}</author>
    <author>tc={85b8fc2b-36bb-45e2-af31-89c30e9f0edf}</author>
    <author>tc={914974e8-f31c-49d0-97d6-26a4173aab3e}</author>
    <author>tc={9303da47-4942-4fdf-95ef-af381efcc3c4}</author>
    <author>tc={9f0ef042-28d0-4e88-85e1-e6badc2ff42f}</author>
    <author>tc={a70007b6-035c-4c3a-b271-5d57d5e9ae63}</author>
    <author>tc={bbf73d65-b0de-4914-91ff-747a579d099a}</author>
    <author>tc={bc077924-3e1d-4f8b-bcb7-17fa636dd629}</author>
    <author>tc={c210639b-54e8-40bd-a942-d603c21f9273}</author>
    <author>tc={d88a9e6c-02b7-4f7a-84f7-7a2362687ea8}</author>
    <author>tc={ddd93658-5283-4f21-8678-08f3f453eacc}</author>
    <author>tc={df5d7fb0-5d74-4d7f-b940-612c2f3cd021}</author>
    <author>tc={e6336d69-5c6c-40d5-8e2d-ad9b8448fd4c}</author>
    <author>tc={eb0e30ff-141b-41ed-812d-7148f6dd16fd}</author>
    <author>tc={f148aa21-d2af-4432-a146-9ac2aba2ca03}</author>
    <author>tc={fb2d8b41-e2f1-4841-895f-16776443e23d}</author>
    <author>tc={fdee1f95-b38b-4a52-871e-37760c0b7467}</author>
    <author>tc={fef583f3-6165-47f0-9e72-4e8e5f3e4a4c}</author>
  </authors>
  <commentList>
    <comment authorId="0" xr:uid="{2308cef0-4782-45b6-bd52-fb9e2838e4d4}" ref="V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100000 charlie
</t>
      </text>
    </comment>
    <comment authorId="1" xr:uid="{2a5bcde4-7324-4450-8076-93376b03ad25}" ref="A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30.000 charlie
</t>
      </text>
    </comment>
    <comment authorId="2" xr:uid="{50d1c067-35f4-4689-8bf4-196ba4c6632e}" ref="A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80.000 charlie
</t>
      </text>
    </comment>
    <comment authorId="3" xr:uid="{5e4002b3-4b70-4c76-a90c-e60ce75e5a7f}" ref="A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60.000 charlie
</t>
      </text>
    </comment>
    <comment authorId="4" xr:uid="{81138568-a753-4172-8809-677ea7f2bd1d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5" xr:uid="{85b8fc2b-36bb-45e2-af31-89c30e9f0edf}" ref="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270.000 charlie
</t>
      </text>
    </comment>
    <comment authorId="6" xr:uid="{914974e8-f31c-49d0-97d6-26a4173aab3e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90.000 charlie
</t>
      </text>
    </comment>
    <comment authorId="7" xr:uid="{9303da47-4942-4fdf-95ef-af381efcc3c4}" ref="X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50000 Charlie
</t>
      </text>
    </comment>
    <comment authorId="8" xr:uid="{9f0ef042-28d0-4e88-85e1-e6badc2ff42f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60.000 charlie
</t>
      </text>
    </comment>
    <comment authorId="9" xr:uid="{a70007b6-035c-4c3a-b271-5d57d5e9ae63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Carlos Gomez
</t>
      </text>
    </comment>
    <comment authorId="10" xr:uid="{bbf73d65-b0de-4914-91ff-747a579d099a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 50.000
</t>
      </text>
    </comment>
    <comment authorId="11" xr:uid="{bc077924-3e1d-4f8b-bcb7-17fa636dd629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80.000 Charlie
</t>
      </text>
    </comment>
    <comment authorId="12" xr:uid="{c210639b-54e8-40bd-a942-d603c21f9273}" ref="A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20.000 charlie
</t>
      </text>
    </comment>
    <comment authorId="13" xr:uid="{d88a9e6c-02b7-4f7a-84f7-7a2362687ea8}" ref="E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Torta Maxi
</t>
      </text>
    </comment>
    <comment authorId="14" xr:uid="{ddd93658-5283-4f21-8678-08f3f453eacc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5" xr:uid="{df5d7fb0-5d74-4d7f-b940-612c2f3cd021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150.000 charlie
</t>
      </text>
    </comment>
    <comment authorId="16" xr:uid="{e6336d69-5c6c-40d5-8e2d-ad9b8448fd4c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200.000 charlie
</t>
      </text>
    </comment>
    <comment authorId="17" xr:uid="{eb0e30ff-141b-41ed-812d-7148f6dd16fd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60.000 charlie
</t>
      </text>
    </comment>
    <comment authorId="18" xr:uid="{f148aa21-d2af-4432-a146-9ac2aba2ca03}" ref="A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9" xr:uid="{fb2d8b41-e2f1-4841-895f-16776443e23d}" ref="A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30000 charlie
</t>
      </text>
    </comment>
    <comment authorId="20" xr:uid="{fdee1f95-b38b-4a52-871e-37760c0b7467}" ref="Y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250000 Charlie
</t>
      </text>
    </comment>
    <comment authorId="21" xr:uid="{fef583f3-6165-47f0-9e72-4e8e5f3e4a4c}" ref="W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100000 Charlie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tc={0842686c-c8f4-4eba-a791-d5ced78e3126}</author>
    <author>tc={1490fdaa-206e-4856-a9c8-164e9259e1f3}</author>
    <author>tc={2afaffbb-f8c7-403c-81b5-a8e5764d2d93}</author>
    <author>tc={2b398ed9-ac54-4548-abc4-bfa29533c83e}</author>
    <author>tc={31ce2070-9351-47ec-8872-8307cb2b9c2a}</author>
    <author>tc={32f49ebe-e5fb-412f-8e61-1f3c387a203f}</author>
    <author>tc={4153db98-4ff8-4eba-b6e5-c9a39220d836}</author>
    <author>tc={49084d96-2306-4616-97e5-96a9ca0ae660}</author>
    <author>tc={5c1d5076-c540-489a-9c12-eaab3c736d94}</author>
    <author>tc={62e81a12-649f-4f4a-a626-7e44684f151b}</author>
    <author>tc={6359cd63-bb4c-41e4-a5eb-4b799b16a970}</author>
    <author>tc={84b2d28c-08f1-4eeb-b541-2574869cd08b}</author>
    <author>tc={c7c6624a-8177-4caa-8266-c0a062fa6875}</author>
    <author>tc={c7d9fc7b-ddbc-4fb6-98fc-e4a7eb369b9f}</author>
    <author>tc={da0f4710-04dc-4fc3-8d44-5661d960905c}</author>
    <author>tc={e5b66424-1dc8-48bb-b0d4-fea418c85591}</author>
    <author>tc={fa6c5de7-bb7c-4b3b-9c8f-2f412b969e2c}</author>
  </authors>
  <commentList>
    <comment authorId="0" xr:uid="{0842686c-c8f4-4eba-a791-d5ced78e3126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300.000 Charlie
</t>
      </text>
    </comment>
    <comment authorId="1" xr:uid="{1490fdaa-206e-4856-a9c8-164e9259e1f3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 50.000
</t>
      </text>
    </comment>
    <comment authorId="2" xr:uid="{2afaffbb-f8c7-403c-81b5-a8e5764d2d93}" ref="A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300000 charlie
</t>
      </text>
    </comment>
    <comment authorId="3" xr:uid="{2b398ed9-ac54-4548-abc4-bfa29533c83e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art de limpieza salón
</t>
      </text>
    </comment>
    <comment authorId="4" xr:uid="{31ce2070-9351-47ec-8872-8307cb2b9c2a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100000 Charlie
</t>
      </text>
    </comment>
    <comment authorId="5" xr:uid="{32f49ebe-e5fb-412f-8e61-1f3c387a203f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50000 charlie
</t>
      </text>
    </comment>
    <comment authorId="6" xr:uid="{4153db98-4ff8-4eba-b6e5-c9a39220d836}" ref="J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torta felipe
</t>
      </text>
    </comment>
    <comment authorId="7" xr:uid="{49084d96-2306-4616-97e5-96a9ca0ae660}" ref="C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torta camilo
</t>
      </text>
    </comment>
    <comment authorId="8" xr:uid="{5c1d5076-c540-489a-9c12-eaab3c736d94}" ref="K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torta charlie
</t>
      </text>
    </comment>
    <comment authorId="9" xr:uid="{62e81a12-649f-4f4a-a626-7e44684f151b}" ref="A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0" xr:uid="{6359cd63-bb4c-41e4-a5eb-4b799b16a970}" ref="V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20.000 charlie
</t>
      </text>
    </comment>
    <comment authorId="11" xr:uid="{84b2d28c-08f1-4eeb-b541-2574869cd08b}" ref="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50000 charlie
</t>
      </text>
    </comment>
    <comment authorId="12" xr:uid="{c7c6624a-8177-4caa-8266-c0a062fa6875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
</t>
      </text>
    </comment>
    <comment authorId="13" xr:uid="{c7d9fc7b-ddbc-4fb6-98fc-e4a7eb369b9f}" ref="Y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4" xr:uid="{da0f4710-04dc-4fc3-8d44-5661d960905c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 100.000
</t>
      </text>
    </comment>
    <comment authorId="15" xr:uid="{e5b66424-1dc8-48bb-b0d4-fea418c85591}" ref="F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contodora marzo
</t>
      </text>
    </comment>
    <comment authorId="16" xr:uid="{fa6c5de7-bb7c-4b3b-9c8f-2f412b969e2c}" ref="W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130.000 charlie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tc={05d80b52-3c39-4338-b403-f467155895b9}</author>
    <author>tc={17c40d09-9273-4145-84fb-9771444f97e4}</author>
    <author>tc={1a99f475-eed0-4002-9ffa-bd2cf601e99c}</author>
    <author>tc={1f6f5244-9eaf-4696-aeeb-571ef6217f91}</author>
    <author>tc={47fd930e-ae14-470c-ae72-13adc96cfa4b}</author>
    <author>tc={600b5313-3ef9-4bae-a84b-a606716fe0d3}</author>
    <author>tc={635eb9e2-c095-4913-b817-fec87a8f0fa6}</author>
    <author>tc={70487fc9-acbf-4fbd-8ff3-3acecf918bf9}</author>
    <author>tc={8204cffe-fc35-407d-bfba-4b0ef37a2bdc}</author>
    <author>tc={855b4b3e-ed37-4a25-a71a-b6d052ba1591}</author>
    <author>tc={8e580d4a-8538-448d-88c7-5fb83de0ab19}</author>
    <author>tc={985dbd2b-cfa3-45bd-83bb-da0325c85e42}</author>
    <author>tc={9ecced30-052c-4b31-a0b1-24e7afa25af6}</author>
    <author>tc={b137918a-4409-4fd3-86a9-cc739be28404}</author>
    <author>tc={bc55a021-f25a-4b3f-a5fe-2dfb29aabc6d}</author>
    <author>tc={c018d58b-fb89-4682-ab8b-c23c690402ab}</author>
    <author>tc={f34f39a1-b5e3-4ff5-bf5e-5d405ec101e5}</author>
    <author>tc={f54a099d-fa59-40aa-bbdc-ac42a80b0586}</author>
  </authors>
  <commentList>
    <comment authorId="0" xr:uid="{05d80b52-3c39-4338-b403-f467155895b9}" ref="A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Maxi
</t>
      </text>
    </comment>
    <comment authorId="1" xr:uid="{17c40d09-9273-4145-84fb-9771444f97e4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250.000 charlie
</t>
      </text>
    </comment>
    <comment authorId="2" xr:uid="{1a99f475-eed0-4002-9ffa-bd2cf601e99c}" ref="Y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Maxi 300.000
</t>
      </text>
    </comment>
    <comment authorId="3" xr:uid="{1f6f5244-9eaf-4696-aeeb-571ef6217f91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90.000 charlie
</t>
      </text>
    </comment>
    <comment authorId="4" xr:uid="{47fd930e-ae14-470c-ae72-13adc96cfa4b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5" xr:uid="{600b5313-3ef9-4bae-a84b-a606716fe0d3}" ref="A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Maxi
</t>
      </text>
    </comment>
    <comment authorId="6" xr:uid="{635eb9e2-c095-4913-b817-fec87a8f0fa6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998.000 charlie
</t>
      </text>
    </comment>
    <comment authorId="7" xr:uid="{70487fc9-acbf-4fbd-8ff3-3acecf918bf9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500.000 charlie
</t>
      </text>
    </comment>
    <comment authorId="8" xr:uid="{8204cffe-fc35-407d-bfba-4b0ef37a2bdc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maxi
</t>
      </text>
    </comment>
    <comment authorId="9" xr:uid="{855b4b3e-ed37-4a25-a71a-b6d052ba1591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30.000 charlie
</t>
      </text>
    </comment>
    <comment authorId="10" xr:uid="{8e580d4a-8538-448d-88c7-5fb83de0ab19}" ref="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1" xr:uid="{985dbd2b-cfa3-45bd-83bb-da0325c85e42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270.000 charlie
</t>
      </text>
    </comment>
    <comment authorId="12" xr:uid="{9ecced30-052c-4b31-a0b1-24e7afa25af6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200.000 charlie
</t>
      </text>
    </comment>
    <comment authorId="13" xr:uid="{b137918a-4409-4fd3-86a9-cc739be28404}" ref="A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Maxi 100.000
</t>
      </text>
    </comment>
    <comment authorId="14" xr:uid="{bc55a021-f25a-4b3f-a5fe-2dfb29aabc6d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5" xr:uid="{c018d58b-fb89-4682-ab8b-c23c690402ab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210.000 charlie
</t>
      </text>
    </comment>
    <comment authorId="16" xr:uid="{f34f39a1-b5e3-4ff5-bf5e-5d405ec101e5}" ref="A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Maxi
</t>
      </text>
    </comment>
    <comment authorId="17" xr:uid="{f54a099d-fa59-40aa-bbdc-ac42a80b0586}" ref="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Maxi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tc={02d127e8-63b6-40e5-87ff-368618f74355}</author>
    <author>tc={0bcaada5-1c88-4ac0-8740-a34411267a7d}</author>
    <author>tc={133df2c3-96a6-4df0-94a9-86c0cef315b8}</author>
    <author>tc={282be730-39a4-4e48-8360-e2c8005c21b9}</author>
    <author>tc={2c8c744a-d05c-49ad-aa73-6ec59a159cb5}</author>
    <author>tc={33c6782b-31bd-4541-b921-f6f4773c1677}</author>
    <author>tc={3c8a4085-6409-419e-b3ee-0399cc835e55}</author>
    <author>tc={76256850-3f06-4799-aa86-e2a8c304d603}</author>
    <author>tc={7632df9e-317b-4a97-a61e-5d9c0d1b5e58}</author>
    <author>tc={78712737-f165-41b2-800f-6a27be4ae8fb}</author>
    <author>tc={7ba0948e-5c4d-4ec4-8a17-40ecb5a9d59c}</author>
    <author>tc={83c236c3-00c0-4f75-b4a2-877bbb2165e7}</author>
    <author>tc={96efd9f6-aff4-4071-a2b1-43b61b326425}</author>
    <author>tc={9a38f121-732d-4cd6-9817-ffeec8f6b9b3}</author>
    <author>tc={aaea8ca2-5309-44d8-83db-3b09f57bcb70}</author>
    <author>tc={ab7980fa-abc5-40f4-9703-2536ab929661}</author>
    <author>tc={ad891eba-eb8a-4302-bd5e-f297a3f17ccc}</author>
    <author>tc={b32626f6-4caf-40db-a730-313bdbe4d4fa}</author>
    <author>tc={b98aef90-42f5-472c-89da-f24f4fe2f4a9}</author>
    <author>tc={c7410584-40b5-4709-add2-15655505b3f1}</author>
    <author>tc={df9c64c2-644d-4534-888a-0ebac6c19362}</author>
    <author>tc={e2c94691-8118-4e16-be7e-84953a2d92d1}</author>
    <author>tc={ffe97f66-239a-4eab-90c9-d42126cb91c6}</author>
  </authors>
  <commentList>
    <comment authorId="0" xr:uid="{02d127e8-63b6-40e5-87ff-368618f74355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314.000 charlie
</t>
      </text>
    </comment>
    <comment authorId="1" xr:uid="{0bcaada5-1c88-4ac0-8740-a34411267a7d}" ref="V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2" xr:uid="{133df2c3-96a6-4df0-94a9-86c0cef315b8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3" xr:uid="{282be730-39a4-4e48-8360-e2c8005c21b9}" ref="A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200.000 Charlie
</t>
      </text>
    </comment>
    <comment authorId="4" xr:uid="{2c8c744a-d05c-49ad-aa73-6ec59a159cb5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250.000 charlie
</t>
      </text>
    </comment>
    <comment authorId="5" xr:uid="{33c6782b-31bd-4541-b921-f6f4773c1677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6" xr:uid="{3c8a4085-6409-419e-b3ee-0399cc835e55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350000 charlie
</t>
      </text>
    </comment>
    <comment authorId="7" xr:uid="{76256850-3f06-4799-aa86-e2a8c304d603}" ref="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8" xr:uid="{7632df9e-317b-4a97-a61e-5d9c0d1b5e58}" ref="AA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Rectificación IVA
</t>
      </text>
    </comment>
    <comment authorId="9" xr:uid="{78712737-f165-41b2-800f-6a27be4ae8fb}" ref="A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
</t>
      </text>
    </comment>
    <comment authorId="10" xr:uid="{7ba0948e-5c4d-4ec4-8a17-40ecb5a9d59c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1" xr:uid="{83c236c3-00c0-4f75-b4a2-877bbb2165e7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2" xr:uid="{96efd9f6-aff4-4071-a2b1-43b61b326425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3" xr:uid="{9a38f121-732d-4cd6-9817-ffeec8f6b9b3}" ref="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200.000 charlie
</t>
      </text>
    </comment>
    <comment authorId="14" xr:uid="{aaea8ca2-5309-44d8-83db-3b09f57bcb70}" ref="Y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5" xr:uid="{ab7980fa-abc5-40f4-9703-2536ab929661}" ref="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6" xr:uid="{ad891eba-eb8a-4302-bd5e-f297a3f17ccc}" ref="A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7" xr:uid="{b32626f6-4caf-40db-a730-313bdbe4d4fa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450.000 charlie
</t>
      </text>
    </comment>
    <comment authorId="18" xr:uid="{b98aef90-42f5-472c-89da-f24f4fe2f4a9}" ref="W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250.000 charlie
</t>
      </text>
    </comment>
    <comment authorId="19" xr:uid="{c7410584-40b5-4709-add2-15655505b3f1}" ref="G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mayo
</t>
      </text>
    </comment>
    <comment authorId="20" xr:uid="{df9c64c2-644d-4534-888a-0ebac6c19362}" ref="X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21" xr:uid="{e2c94691-8118-4e16-be7e-84953a2d92d1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
</t>
      </text>
    </comment>
    <comment authorId="22" xr:uid="{ffe97f66-239a-4eab-90c9-d42126cb91c6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400.000 charlie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tc={167ebb81-8004-49a2-8b94-56e6d2933050}</author>
    <author>tc={267cba4e-b043-47b9-8be8-4f92fc06344d}</author>
    <author>tc={2c247899-73db-492e-b7be-bc142cefb5bd}</author>
    <author>tc={2fd78929-4443-4a3f-94cc-46dcd210236e}</author>
    <author>tc={308350bc-9b43-46c1-a086-b503068ef956}</author>
    <author>tc={37b01102-a71a-4ee5-87eb-8c5baa77401c}</author>
    <author>tc={4fd2151b-195e-4aab-844d-a11c6685bb98}</author>
    <author>tc={522e364c-e707-4115-a43a-ce98b1e5c98f}</author>
    <author>tc={6b893690-0fee-4a87-9e25-bd1980e8fc99}</author>
    <author>tc={82d6b0e8-9f20-41d9-883c-b90f1949d742}</author>
    <author>tc={85ddd3ba-4d85-46d8-a35c-d0addf598483}</author>
    <author>tc={92071242-85ca-4c1f-b7ed-ee9f70ed824a}</author>
    <author>tc={9acbc38e-e578-4a90-95f7-b1f3010b8ba6}</author>
    <author>tc={a0657c3a-d1c1-4844-9f07-b8d550e5a001}</author>
    <author>tc={a731444c-d10c-442c-8415-46796143cb1e}</author>
    <author>tc={aae9003d-eba9-48c1-a56a-b8b667064048}</author>
    <author>tc={b449fca3-d385-4ef4-b543-d428b46a2906}</author>
    <author>tc={bcaca102-621b-49ea-b825-16ca05a24a14}</author>
    <author>tc={dbef4434-d5ba-418f-abe4-da6363d7af00}</author>
    <author>tc={e4f7d679-7a42-47a2-bbd5-7239a034dd94}</author>
    <author>tc={eb1a36e3-abf8-41ac-9c6e-e1c5596193c8}</author>
    <author>tc={f82d1266-3d06-4913-a009-13c2b9ca84a3}</author>
  </authors>
  <commentList>
    <comment authorId="0" xr:uid="{167ebb81-8004-49a2-8b94-56e6d2933050}" ref="O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65.000 arriendo estacionamiento kojo
</t>
      </text>
    </comment>
    <comment authorId="1" xr:uid="{267cba4e-b043-47b9-8be8-4f92fc06344d}" ref="W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
</t>
      </text>
    </comment>
    <comment authorId="2" xr:uid="{2c247899-73db-492e-b7be-bc142cefb5bd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9.000 fideos camote
</t>
      </text>
    </comment>
    <comment authorId="3" xr:uid="{2fd78929-4443-4a3f-94cc-46dcd210236e}" ref="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4" xr:uid="{308350bc-9b43-46c1-a086-b503068ef956}" ref="K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Mano de obra arreglos
</t>
      </text>
    </comment>
    <comment authorId="5" xr:uid="{37b01102-a71a-4ee5-87eb-8c5baa77401c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150.000 Charlie
</t>
      </text>
    </comment>
    <comment authorId="6" xr:uid="{4fd2151b-195e-4aab-844d-a11c6685bb98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luces anubis, santuario, baños, interrumpor salón, ventiladores de los baños.
</t>
      </text>
    </comment>
    <comment authorId="7" xr:uid="{522e364c-e707-4115-a43a-ce98b1e5c98f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200.000 charlie
</t>
      </text>
    </comment>
    <comment authorId="8" xr:uid="{6b893690-0fee-4a87-9e25-bd1980e8fc99}" ref="V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
</t>
      </text>
    </comment>
    <comment authorId="9" xr:uid="{82d6b0e8-9f20-41d9-883c-b90f1949d742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150.000 charlie
</t>
      </text>
    </comment>
    <comment authorId="10" xr:uid="{85ddd3ba-4d85-46d8-a35c-d0addf598483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1" xr:uid="{92071242-85ca-4c1f-b7ed-ee9f70ed824a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 50.000
</t>
      </text>
    </comment>
    <comment authorId="12" xr:uid="{9acbc38e-e578-4a90-95f7-b1f3010b8ba6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150.000 Charlie
</t>
      </text>
    </comment>
    <comment authorId="13" xr:uid="{a0657c3a-d1c1-4844-9f07-b8d550e5a001}" ref="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460.000 charlie
</t>
      </text>
    </comment>
    <comment authorId="14" xr:uid="{a731444c-d10c-442c-8415-46796143cb1e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5" xr:uid="{aae9003d-eba9-48c1-a56a-b8b667064048}" ref="D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pilas calefon
</t>
      </text>
    </comment>
    <comment authorId="16" xr:uid="{b449fca3-d385-4ef4-b543-d428b46a2906}" ref="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7" xr:uid="{bcaca102-621b-49ea-b825-16ca05a24a14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8" xr:uid="{dbef4434-d5ba-418f-abe4-da6363d7af00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400.000 charlie
</t>
      </text>
    </comment>
    <comment authorId="19" xr:uid="{e4f7d679-7a42-47a2-bbd5-7239a034dd94}" ref="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20" xr:uid="{eb1a36e3-abf8-41ac-9c6e-e1c5596193c8}" ref="A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
</t>
      </text>
    </comment>
    <comment authorId="21" xr:uid="{f82d1266-3d06-4913-a009-13c2b9ca84a3}" ref="D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Pilas calefont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tc={0159fbf0-5ae5-426c-b3c9-2c6f360dcc9d}</author>
    <author>tc={015f7b8b-1954-40f3-aedc-2afa42bdf44e}</author>
    <author>tc={09810a7d-370b-49bd-9654-4026f5b7037e}</author>
    <author>tc={0f00c03d-0f10-49ba-8d40-00d8f88a120d}</author>
    <author>tc={10acd1f2-613a-490d-8670-d395fa03d712}</author>
    <author>tc={10ec305e-3756-4cfc-a68e-67cb2a5e9f10}</author>
    <author>tc={28509023-45bb-4c91-97df-2668005b0fcd}</author>
    <author>tc={2c08b02e-0606-4f00-bca0-bfc06a71e31d}</author>
    <author>tc={357cc23b-2ab4-4f81-9fa2-cb06f115e605}</author>
    <author>tc={4593af8e-f968-4d94-960b-1cf765799893}</author>
    <author>tc={482d6012-5a42-4ee7-bff7-caf7817d417a}</author>
    <author>tc={5d183e35-a003-4a87-8d38-c639ec29f117}</author>
    <author>tc={965e2f1d-d261-4472-8453-b5ad2085b624}</author>
    <author>tc={a9ca9bf3-4089-4b7f-af9e-2c3691519276}</author>
    <author>tc={c1f4ca04-1ee4-4bef-b1f6-18cb0d70842e}</author>
    <author>tc={e89d113d-a3e1-4da2-b216-a966310ea3d4}</author>
    <author>tc={f9ab33df-308a-43b4-829b-7ce405998ea3}</author>
  </authors>
  <commentList>
    <comment authorId="0" xr:uid="{0159fbf0-5ae5-426c-b3c9-2c6f360dcc9d}" ref="J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Paula 70.000
</t>
      </text>
    </comment>
    <comment authorId="1" xr:uid="{015f7b8b-1954-40f3-aedc-2afa42bdf44e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2" xr:uid="{09810a7d-370b-49bd-9654-4026f5b7037e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3" xr:uid="{0f00c03d-0f10-49ba-8d40-00d8f88a120d}" ref="E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german
</t>
      </text>
    </comment>
    <comment authorId="4" xr:uid="{10acd1f2-613a-490d-8670-d395fa03d712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20.000 charlie
</t>
      </text>
    </comment>
    <comment authorId="5" xr:uid="{10ec305e-3756-4cfc-a68e-67cb2a5e9f10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129900 charlie
</t>
      </text>
    </comment>
    <comment authorId="6" xr:uid="{28509023-45bb-4c91-97df-2668005b0fcd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240.000 charlie
</t>
      </text>
    </comment>
    <comment authorId="7" xr:uid="{2c08b02e-0606-4f00-bca0-bfc06a71e31d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290.000 charlie
</t>
      </text>
    </comment>
    <comment authorId="8" xr:uid="{357cc23b-2ab4-4f81-9fa2-cb06f115e605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340.000 Charlie
</t>
      </text>
    </comment>
    <comment authorId="9" xr:uid="{4593af8e-f968-4d94-960b-1cf765799893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20.000 Charlie
</t>
      </text>
    </comment>
    <comment authorId="10" xr:uid="{482d6012-5a42-4ee7-bff7-caf7817d417a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1" xr:uid="{5d183e35-a003-4a87-8d38-c639ec29f117}" ref="D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adelanto Cristian
</t>
      </text>
    </comment>
    <comment authorId="12" xr:uid="{965e2f1d-d261-4472-8453-b5ad2085b624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  <comment authorId="13" xr:uid="{a9ca9bf3-4089-4b7f-af9e-2c3691519276}" ref="M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150.000 Maxi
</t>
      </text>
    </comment>
    <comment authorId="14" xr:uid="{c1f4ca04-1ee4-4bef-b1f6-18cb0d70842e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Charlie
</t>
      </text>
    </comment>
    <comment authorId="15" xr:uid="{e89d113d-a3e1-4da2-b216-a966310ea3d4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50.000 charlie
</t>
      </text>
    </comment>
    <comment authorId="16" xr:uid="{f9ab33df-308a-43b4-829b-7ce405998ea3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 charlie
</t>
      </text>
    </comment>
  </commentList>
</comments>
</file>

<file path=xl/sharedStrings.xml><?xml version="1.0" encoding="utf-8"?>
<sst xmlns="http://schemas.openxmlformats.org/spreadsheetml/2006/main" count="889" uniqueCount="117">
  <si>
    <t xml:space="preserve"> n</t>
  </si>
  <si>
    <t>Totales</t>
  </si>
  <si>
    <t>Ingresos</t>
  </si>
  <si>
    <t>Transbank</t>
  </si>
  <si>
    <t>Transferencias</t>
  </si>
  <si>
    <t>Efectivo</t>
  </si>
  <si>
    <t>Uber</t>
  </si>
  <si>
    <t>Total bruto</t>
  </si>
  <si>
    <t>Total neto</t>
  </si>
  <si>
    <t>Materia prima</t>
  </si>
  <si>
    <t>MP</t>
  </si>
  <si>
    <t>84000+55000</t>
  </si>
  <si>
    <t>Arroz</t>
  </si>
  <si>
    <t>Hod Food</t>
  </si>
  <si>
    <t>Seitan</t>
  </si>
  <si>
    <t>Palta</t>
  </si>
  <si>
    <t>Champiñon</t>
  </si>
  <si>
    <t>Verduras</t>
  </si>
  <si>
    <t>shen</t>
  </si>
  <si>
    <t>Carivo</t>
  </si>
  <si>
    <t>Mozzen</t>
  </si>
  <si>
    <t>Shen</t>
  </si>
  <si>
    <t>Café y Té</t>
  </si>
  <si>
    <t>Leche de soya</t>
  </si>
  <si>
    <t>Bebestibles</t>
  </si>
  <si>
    <t>Brugga</t>
  </si>
  <si>
    <t>Colación</t>
  </si>
  <si>
    <t>Empaques y desechables</t>
  </si>
  <si>
    <t>Soyas sachet</t>
  </si>
  <si>
    <t>Servilletas</t>
  </si>
  <si>
    <t>Limpieza e higiene</t>
  </si>
  <si>
    <t>Postres</t>
  </si>
  <si>
    <t>Gastos FV</t>
  </si>
  <si>
    <t>Operaciones</t>
  </si>
  <si>
    <t>Electricidad</t>
  </si>
  <si>
    <t>Agua</t>
  </si>
  <si>
    <t>Gas</t>
  </si>
  <si>
    <t>Restaurantpe</t>
  </si>
  <si>
    <t>Toteat</t>
  </si>
  <si>
    <t>Alarma</t>
  </si>
  <si>
    <t>VTR</t>
  </si>
  <si>
    <t>Bodega</t>
  </si>
  <si>
    <t>Arriendo</t>
  </si>
  <si>
    <t>Funmigacion</t>
  </si>
  <si>
    <t>Aroclean</t>
  </si>
  <si>
    <t>Reposición de vasos</t>
  </si>
  <si>
    <t>Reposición Articulos cocina</t>
  </si>
  <si>
    <t>Reposición articulos salón</t>
  </si>
  <si>
    <t>Reparaciones mano de obra</t>
  </si>
  <si>
    <t>Reparaciones articulos</t>
  </si>
  <si>
    <t>Reparaciones maquinaria</t>
  </si>
  <si>
    <t xml:space="preserve">Asesoria </t>
  </si>
  <si>
    <t>Fee</t>
  </si>
  <si>
    <t>Administración y finanzas</t>
  </si>
  <si>
    <t>Comisiones cuenta corriente</t>
  </si>
  <si>
    <t>Contadora</t>
  </si>
  <si>
    <t>Patentes comerciales</t>
  </si>
  <si>
    <t>Insumos de oficina</t>
  </si>
  <si>
    <t>Wasabil</t>
  </si>
  <si>
    <t>Devolución clientes</t>
  </si>
  <si>
    <t>Reuniones ejecutivas</t>
  </si>
  <si>
    <t>Certificados</t>
  </si>
  <si>
    <t>Marketing</t>
  </si>
  <si>
    <t>Mercat</t>
  </si>
  <si>
    <t>Brevo</t>
  </si>
  <si>
    <t>Fiweex</t>
  </si>
  <si>
    <t>Fujifilm instax</t>
  </si>
  <si>
    <t>Resos</t>
  </si>
  <si>
    <t>HappyCow</t>
  </si>
  <si>
    <t>Meta Ads</t>
  </si>
  <si>
    <t>Influencers</t>
  </si>
  <si>
    <t>Chatfuel</t>
  </si>
  <si>
    <t>Community manager</t>
  </si>
  <si>
    <t>Microsoft</t>
  </si>
  <si>
    <t>Inversiones activos</t>
  </si>
  <si>
    <t>Nuevas maquinaria</t>
  </si>
  <si>
    <t>Nueva decoración y muebles</t>
  </si>
  <si>
    <t>Remodelaciones</t>
  </si>
  <si>
    <t>Kojo</t>
  </si>
  <si>
    <t>Dinero temporal</t>
  </si>
  <si>
    <t>Delifast</t>
  </si>
  <si>
    <t>Uber direct</t>
  </si>
  <si>
    <t>Monto delivery</t>
  </si>
  <si>
    <t>Propina personal</t>
  </si>
  <si>
    <t>RRHH</t>
  </si>
  <si>
    <t>Turnos feriados</t>
  </si>
  <si>
    <t>Sueldo personal</t>
  </si>
  <si>
    <t>Traslados personal</t>
  </si>
  <si>
    <t>Turnos extras</t>
  </si>
  <si>
    <t>Bonos</t>
  </si>
  <si>
    <t>Previred</t>
  </si>
  <si>
    <t>Uniforme pesonal</t>
  </si>
  <si>
    <t>Finiquitos</t>
  </si>
  <si>
    <t>Recreación</t>
  </si>
  <si>
    <t>Impuestos fiscales</t>
  </si>
  <si>
    <t>Impuesto sobre la renta</t>
  </si>
  <si>
    <t>IVA</t>
  </si>
  <si>
    <t>Amortizaciones</t>
  </si>
  <si>
    <t>Préstamo</t>
  </si>
  <si>
    <t>Total egresos conciliación</t>
  </si>
  <si>
    <t>Total egresos operativos</t>
  </si>
  <si>
    <t>Rentabilidad</t>
  </si>
  <si>
    <t>Tofu</t>
  </si>
  <si>
    <t>Enero</t>
  </si>
  <si>
    <t>Frebrero</t>
  </si>
  <si>
    <t>Marzo</t>
  </si>
  <si>
    <t>Abril</t>
  </si>
  <si>
    <t>Mayo</t>
  </si>
  <si>
    <t>Junio</t>
  </si>
  <si>
    <t>Julio</t>
  </si>
  <si>
    <t>Agosto</t>
  </si>
  <si>
    <t>Total</t>
  </si>
  <si>
    <t>Ingreso real</t>
  </si>
  <si>
    <t xml:space="preserve">Verduras </t>
  </si>
  <si>
    <t xml:space="preserve">Reuniones ejecutivas </t>
  </si>
  <si>
    <t>Facebooks Ads</t>
  </si>
  <si>
    <t>Monto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</si>
</sst>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dd"/>
    <numFmt numFmtId="166" formatCode="dd/ddd"/>
    <numFmt numFmtId="167" formatCode="&quot;$&quot;#,##0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2F1DA"/>
        <bgColor rgb="FFD2F1DA"/>
      </patternFill>
    </fill>
    <fill>
      <patternFill patternType="solid">
        <fgColor rgb="FFFFFFFF"/>
        <bgColor rgb="FFFFFFFF"/>
      </patternFill>
    </fill>
    <fill>
      <patternFill patternType="solid">
        <fgColor rgb="FFD9F1F3"/>
        <bgColor rgb="FFD9F1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B3CEFA"/>
        <bgColor rgb="FFB3CEFA"/>
      </patternFill>
    </fill>
    <fill>
      <patternFill patternType="solid">
        <fgColor rgb="FFF9CB9C"/>
        <bgColor rgb="FFF9CB9C"/>
      </patternFill>
    </fill>
    <fill>
      <patternFill patternType="solid">
        <fgColor rgb="FFFAD9D6"/>
        <bgColor rgb="FFFAD9D6"/>
      </patternFill>
    </fill>
    <fill>
      <patternFill patternType="solid">
        <fgColor rgb="FFFCE5CD"/>
        <bgColor rgb="FFFCE5CD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3" numFmtId="164" xfId="0" applyAlignment="1" applyBorder="1" applyFont="1" applyNumberFormat="1">
      <alignment vertical="bottom"/>
    </xf>
    <xf borderId="1" fillId="2" fontId="3" numFmtId="167" xfId="0" applyAlignment="1" applyBorder="1" applyFont="1" applyNumberFormat="1">
      <alignment vertical="bottom"/>
    </xf>
    <xf borderId="1" fillId="2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167" xfId="0" applyAlignment="1" applyFont="1" applyNumberFormat="1">
      <alignment horizontal="right" readingOrder="0" vertical="bottom"/>
    </xf>
    <xf borderId="0" fillId="3" fontId="5" numFmtId="167" xfId="0" applyAlignment="1" applyFill="1" applyFont="1" applyNumberFormat="1">
      <alignment horizontal="right" shrinkToFit="0" wrapText="0"/>
    </xf>
    <xf borderId="0" fillId="0" fontId="1" numFmtId="167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7" xfId="0" applyAlignment="1" applyFont="1" applyNumberFormat="1">
      <alignment horizontal="right" vertical="bottom"/>
    </xf>
    <xf borderId="1" fillId="4" fontId="2" numFmtId="0" xfId="0" applyAlignment="1" applyBorder="1" applyFill="1" applyFont="1">
      <alignment vertical="bottom"/>
    </xf>
    <xf borderId="0" fillId="4" fontId="2" numFmtId="164" xfId="0" applyAlignment="1" applyFont="1" applyNumberFormat="1">
      <alignment horizontal="center" vertical="bottom"/>
    </xf>
    <xf borderId="0" fillId="4" fontId="4" numFmtId="167" xfId="0" applyAlignment="1" applyFont="1" applyNumberFormat="1">
      <alignment horizontal="right" vertical="bottom"/>
    </xf>
    <xf borderId="1" fillId="4" fontId="1" numFmtId="167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1" fillId="5" fontId="2" numFmtId="0" xfId="0" applyAlignment="1" applyBorder="1" applyFill="1" applyFont="1">
      <alignment vertical="bottom"/>
    </xf>
    <xf borderId="0" fillId="5" fontId="2" numFmtId="164" xfId="0" applyAlignment="1" applyFont="1" applyNumberFormat="1">
      <alignment horizontal="center" vertical="bottom"/>
    </xf>
    <xf borderId="1" fillId="5" fontId="4" numFmtId="167" xfId="0" applyAlignment="1" applyBorder="1" applyFont="1" applyNumberFormat="1">
      <alignment horizontal="right" vertical="bottom"/>
    </xf>
    <xf borderId="0" fillId="5" fontId="1" numFmtId="167" xfId="0" applyAlignment="1" applyFont="1" applyNumberFormat="1">
      <alignment horizontal="right" vertical="bottom"/>
    </xf>
    <xf borderId="0" fillId="6" fontId="4" numFmtId="0" xfId="0" applyAlignment="1" applyFill="1" applyFont="1">
      <alignment vertical="bottom"/>
    </xf>
    <xf borderId="0" fillId="6" fontId="4" numFmtId="164" xfId="0" applyAlignment="1" applyFont="1" applyNumberFormat="1">
      <alignment horizontal="center" vertical="bottom"/>
    </xf>
    <xf borderId="0" fillId="6" fontId="4" numFmtId="167" xfId="0" applyAlignment="1" applyFont="1" applyNumberFormat="1">
      <alignment horizontal="right" vertical="bottom"/>
    </xf>
    <xf borderId="0" fillId="6" fontId="1" numFmtId="167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4" numFmtId="167" xfId="0" applyAlignment="1" applyFont="1" applyNumberFormat="1">
      <alignment horizontal="right" vertical="bottom"/>
    </xf>
    <xf borderId="0" fillId="7" fontId="2" numFmtId="0" xfId="0" applyAlignment="1" applyFill="1" applyFont="1">
      <alignment vertical="bottom"/>
    </xf>
    <xf borderId="0" fillId="7" fontId="2" numFmtId="164" xfId="0" applyAlignment="1" applyFont="1" applyNumberFormat="1">
      <alignment horizontal="center" vertical="bottom"/>
    </xf>
    <xf borderId="0" fillId="7" fontId="3" numFmtId="167" xfId="0" applyAlignment="1" applyFont="1" applyNumberFormat="1">
      <alignment horizontal="right" vertical="bottom"/>
    </xf>
    <xf borderId="0" fillId="7" fontId="1" numFmtId="167" xfId="0" applyAlignment="1" applyFont="1" applyNumberFormat="1">
      <alignment horizontal="right" vertical="bottom"/>
    </xf>
    <xf borderId="0" fillId="0" fontId="3" numFmtId="167" xfId="0" applyAlignment="1" applyFont="1" applyNumberFormat="1">
      <alignment readingOrder="0" vertical="bottom"/>
    </xf>
    <xf borderId="1" fillId="8" fontId="2" numFmtId="0" xfId="0" applyAlignment="1" applyBorder="1" applyFill="1" applyFont="1">
      <alignment vertical="bottom"/>
    </xf>
    <xf borderId="0" fillId="8" fontId="2" numFmtId="164" xfId="0" applyAlignment="1" applyFont="1" applyNumberFormat="1">
      <alignment horizontal="center" vertical="bottom"/>
    </xf>
    <xf borderId="1" fillId="8" fontId="4" numFmtId="167" xfId="0" applyAlignment="1" applyBorder="1" applyFont="1" applyNumberFormat="1">
      <alignment horizontal="right" vertical="bottom"/>
    </xf>
    <xf borderId="1" fillId="8" fontId="1" numFmtId="167" xfId="0" applyAlignment="1" applyBorder="1" applyFont="1" applyNumberFormat="1">
      <alignment horizontal="right" vertical="bottom"/>
    </xf>
    <xf borderId="0" fillId="9" fontId="2" numFmtId="0" xfId="0" applyAlignment="1" applyFill="1" applyFont="1">
      <alignment vertical="bottom"/>
    </xf>
    <xf borderId="0" fillId="9" fontId="4" numFmtId="164" xfId="0" applyAlignment="1" applyFont="1" applyNumberFormat="1">
      <alignment horizontal="center" vertical="bottom"/>
    </xf>
    <xf borderId="0" fillId="9" fontId="4" numFmtId="167" xfId="0" applyAlignment="1" applyFont="1" applyNumberFormat="1">
      <alignment horizontal="right" vertical="bottom"/>
    </xf>
    <xf borderId="0" fillId="9" fontId="2" numFmtId="167" xfId="0" applyAlignment="1" applyFont="1" applyNumberFormat="1">
      <alignment horizontal="right" vertical="bottom"/>
    </xf>
    <xf borderId="0" fillId="6" fontId="2" numFmtId="0" xfId="0" applyAlignment="1" applyFont="1">
      <alignment vertical="bottom"/>
    </xf>
    <xf borderId="0" fillId="6" fontId="3" numFmtId="164" xfId="0" applyAlignment="1" applyFont="1" applyNumberFormat="1">
      <alignment vertical="bottom"/>
    </xf>
    <xf borderId="0" fillId="6" fontId="3" numFmtId="167" xfId="0" applyAlignment="1" applyFont="1" applyNumberFormat="1">
      <alignment vertical="bottom"/>
    </xf>
    <xf borderId="0" fillId="6" fontId="3" numFmtId="0" xfId="0" applyAlignment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10" fontId="2" numFmtId="0" xfId="0" applyAlignment="1" applyFill="1" applyFont="1">
      <alignment vertical="bottom"/>
    </xf>
    <xf borderId="0" fillId="10" fontId="3" numFmtId="164" xfId="0" applyAlignment="1" applyFont="1" applyNumberFormat="1">
      <alignment vertical="bottom"/>
    </xf>
    <xf borderId="0" fillId="10" fontId="2" numFmtId="167" xfId="0" applyAlignment="1" applyFont="1" applyNumberFormat="1">
      <alignment horizontal="right" vertical="bottom"/>
    </xf>
    <xf borderId="1" fillId="10" fontId="2" numFmtId="167" xfId="0" applyAlignment="1" applyBorder="1" applyFont="1" applyNumberFormat="1">
      <alignment horizontal="right" vertical="bottom"/>
    </xf>
    <xf borderId="1" fillId="10" fontId="2" numFmtId="0" xfId="0" applyAlignment="1" applyBorder="1" applyFont="1">
      <alignment vertical="bottom"/>
    </xf>
    <xf borderId="1" fillId="10" fontId="3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1" numFmtId="167" xfId="0" applyAlignment="1" applyFont="1" applyNumberFormat="1">
      <alignment readingOrder="0" vertical="bottom"/>
    </xf>
    <xf borderId="0" fillId="0" fontId="1" numFmtId="167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2" fontId="3" numFmtId="167" xfId="0" applyAlignment="1" applyFont="1" applyNumberForma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2" fontId="2" numFmtId="164" xfId="0" applyAlignment="1" applyFont="1" applyNumberFormat="1">
      <alignment vertical="bottom"/>
    </xf>
    <xf borderId="0" fillId="2" fontId="1" numFmtId="167" xfId="0" applyAlignment="1" applyFont="1" applyNumberFormat="1">
      <alignment horizontal="right" vertical="bottom"/>
    </xf>
    <xf borderId="0" fillId="2" fontId="1" numFmtId="167" xfId="0" applyAlignment="1" applyFont="1" applyNumberFormat="1">
      <alignment horizontal="right" vertical="bottom"/>
    </xf>
    <xf borderId="0" fillId="3" fontId="3" numFmtId="167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right" readingOrder="0" vertical="bottom"/>
    </xf>
    <xf borderId="0" fillId="3" fontId="3" numFmtId="167" xfId="0" applyAlignment="1" applyFont="1" applyNumberFormat="1">
      <alignment horizontal="right" readingOrder="0" vertical="bottom"/>
    </xf>
    <xf borderId="0" fillId="5" fontId="2" numFmtId="164" xfId="0" applyAlignment="1" applyFont="1" applyNumberFormat="1">
      <alignment vertical="bottom"/>
    </xf>
    <xf borderId="0" fillId="5" fontId="1" numFmtId="167" xfId="0" applyAlignment="1" applyFont="1" applyNumberFormat="1">
      <alignment horizontal="right" vertical="bottom"/>
    </xf>
    <xf borderId="0" fillId="5" fontId="3" numFmtId="167" xfId="0" applyAlignment="1" applyFont="1" applyNumberFormat="1">
      <alignment horizontal="right" vertical="bottom"/>
    </xf>
    <xf borderId="0" fillId="6" fontId="2" numFmtId="164" xfId="0" applyAlignment="1" applyFont="1" applyNumberFormat="1">
      <alignment vertical="bottom"/>
    </xf>
    <xf borderId="0" fillId="6" fontId="3" numFmtId="167" xfId="0" applyAlignment="1" applyFont="1" applyNumberFormat="1">
      <alignment horizontal="right" vertical="bottom"/>
    </xf>
    <xf borderId="0" fillId="6" fontId="3" numFmtId="167" xfId="0" applyAlignment="1" applyFont="1" applyNumberFormat="1">
      <alignment horizontal="right" vertical="bottom"/>
    </xf>
    <xf borderId="0" fillId="11" fontId="3" numFmtId="167" xfId="0" applyAlignment="1" applyFill="1" applyFont="1" applyNumberFormat="1">
      <alignment horizontal="right" vertical="bottom"/>
    </xf>
    <xf borderId="0" fillId="3" fontId="3" numFmtId="167" xfId="0" applyAlignment="1" applyFont="1" applyNumberFormat="1">
      <alignment horizontal="right" vertical="bottom"/>
    </xf>
    <xf borderId="0" fillId="6" fontId="3" numFmtId="167" xfId="0" applyAlignment="1" applyFont="1" applyNumberFormat="1">
      <alignment horizontal="right" vertical="bottom"/>
    </xf>
    <xf borderId="0" fillId="3" fontId="2" numFmtId="164" xfId="0" applyAlignment="1" applyFont="1" applyNumberFormat="1">
      <alignment vertical="bottom"/>
    </xf>
    <xf borderId="0" fillId="3" fontId="6" numFmtId="0" xfId="0" applyFont="1"/>
    <xf borderId="0" fillId="5" fontId="3" numFmtId="167" xfId="0" applyAlignment="1" applyFont="1" applyNumberFormat="1">
      <alignment horizontal="right" vertical="bottom"/>
    </xf>
    <xf borderId="0" fillId="0" fontId="3" numFmtId="167" xfId="0" applyAlignment="1" applyFont="1" applyNumberFormat="1">
      <alignment readingOrder="0" vertical="bottom"/>
    </xf>
    <xf borderId="0" fillId="7" fontId="2" numFmtId="164" xfId="0" applyAlignment="1" applyFont="1" applyNumberFormat="1">
      <alignment vertical="bottom"/>
    </xf>
    <xf borderId="0" fillId="7" fontId="3" numFmtId="167" xfId="0" applyAlignment="1" applyFont="1" applyNumberFormat="1">
      <alignment horizontal="right" vertical="bottom"/>
    </xf>
    <xf borderId="0" fillId="8" fontId="2" numFmtId="164" xfId="0" applyAlignment="1" applyFont="1" applyNumberFormat="1">
      <alignment vertical="bottom"/>
    </xf>
    <xf borderId="0" fillId="8" fontId="3" numFmtId="167" xfId="0" applyAlignment="1" applyFont="1" applyNumberFormat="1">
      <alignment horizontal="right" vertical="bottom"/>
    </xf>
    <xf borderId="0" fillId="8" fontId="3" numFmtId="167" xfId="0" applyAlignment="1" applyFont="1" applyNumberFormat="1">
      <alignment horizontal="right" vertical="bottom"/>
    </xf>
    <xf borderId="0" fillId="9" fontId="2" numFmtId="164" xfId="0" applyAlignment="1" applyFont="1" applyNumberFormat="1">
      <alignment vertical="bottom"/>
    </xf>
    <xf borderId="0" fillId="9" fontId="3" numFmtId="167" xfId="0" applyAlignment="1" applyFont="1" applyNumberFormat="1">
      <alignment horizontal="right" vertical="bottom"/>
    </xf>
    <xf borderId="0" fillId="9" fontId="3" numFmtId="167" xfId="0" applyAlignment="1" applyFont="1" applyNumberFormat="1">
      <alignment horizontal="right" vertical="bottom"/>
    </xf>
    <xf borderId="0" fillId="10" fontId="3" numFmtId="0" xfId="0" applyAlignment="1" applyFont="1">
      <alignment vertical="bottom"/>
    </xf>
    <xf borderId="0" fillId="10" fontId="3" numFmtId="167" xfId="0" applyAlignment="1" applyFont="1" applyNumberFormat="1">
      <alignment horizontal="right" vertical="bottom"/>
    </xf>
    <xf borderId="0" fillId="10" fontId="3" numFmtId="167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orus Vegan" id="{179de1a7-cfc2-40d7-b867-495d7f2806c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C13" dT="2026-01-28T15:54:33.00" personId="{179de1a7-cfc2-40d7-b867-495d7f2806c9}" id="{039cb9f5-ebe0-4f40-a95a-aa3b37f3d97b}" done="1">
    <x18tc:text xml:space="preserve">80.000 charlie</x18tc:text>
  </x18tc:threadedComment>
  <x18tc:threadedComment ref="AE13" dT="2026-01-29T21:09:44.00" personId="{179de1a7-cfc2-40d7-b867-495d7f2806c9}" id="{a70800c6-b19b-4a51-9959-5a2d2e7e1873}" done="1">
    <x18tc:text xml:space="preserve">20.000 charlie</x18tc:text>
  </x18tc:threadedComment>
  <x18tc:threadedComment ref="J13" dT="2026-01-08T15:42:56.00" personId="{179de1a7-cfc2-40d7-b867-495d7f2806c9}" id="{7515435a-2bbb-44ea-a540-71fdd014ba63}" done="1">
    <x18tc:text xml:space="preserve">50.000 Charlie</x18tc:text>
  </x18tc:threadedComment>
  <x18tc:threadedComment ref="D13" dT="2026-01-04T19:02:38.00" personId="{179de1a7-cfc2-40d7-b867-495d7f2806c9}" id="{b85f35a2-eac3-4f5c-bca8-cc3fc682e9f8}" done="1">
    <x18tc:text xml:space="preserve">50.000 charlie</x18tc:text>
  </x18tc:threadedComment>
  <x18tc:threadedComment ref="AE13" dT="2026-01-29T21:09:26.00" personId="{179de1a7-cfc2-40d7-b867-495d7f2806c9}" id="{893abd3d-1049-4b90-95fa-b961551f8e09}" done="1">
    <x18tc:text xml:space="preserve">94000 charlie</x18tc:text>
  </x18tc:threadedComment>
  <x18tc:threadedComment ref="E13" dT="2026-01-04T19:03:58.00" personId="{179de1a7-cfc2-40d7-b867-495d7f2806c9}" id="{fe75888b-e0ff-4ff3-8766-5ddcaa4098ce}" done="1">
    <x18tc:text xml:space="preserve">100.000 Charlie</x18tc:text>
  </x18tc:threadedComment>
  <x18tc:threadedComment ref="AG71" dT="2026-02-04T18:30:18.00" personId="{179de1a7-cfc2-40d7-b867-495d7f2806c9}" id="{d5e4b8f4-8e98-435b-a635-7094d629b1a5}" done="0">
    <x18tc:text xml:space="preserve">Dic y Ene</x18tc:text>
  </x18tc:threadedComment>
  <x18tc:threadedComment ref="W13" dT="2026-01-24T20:22:53.00" personId="{179de1a7-cfc2-40d7-b867-495d7f2806c9}" id="{e31b9270-2b2b-49af-9ada-be91401e7f6f}" done="1">
    <x18tc:text xml:space="preserve">20000 charlie</x18tc:text>
  </x18tc:threadedComment>
  <x18tc:threadedComment ref="Y13" dT="2026-01-24T20:21:56.00" personId="{179de1a7-cfc2-40d7-b867-495d7f2806c9}" id="{86430bc0-7d5d-4490-97b4-4699e0ce2e10}" done="1">
    <x18tc:text xml:space="preserve">50000 charlie</x18tc:text>
  </x18tc:threadedComment>
  <x18tc:threadedComment ref="H13" dT="2026-01-07T20:53:17.00" personId="{179de1a7-cfc2-40d7-b867-495d7f2806c9}" id="{031126f3-8e33-4237-be70-a643f90f930b}" done="1">
    <x18tc:text xml:space="preserve">100.000 Charlie</x18tc:text>
  </x18tc:threadedComment>
  <x18tc:threadedComment ref="X13" dT="2026-01-24T20:20:45.00" personId="{179de1a7-cfc2-40d7-b867-495d7f2806c9}" id="{249d742b-030d-4846-b7ec-89c2e41c0833}" done="1">
    <x18tc:text xml:space="preserve">70.000 charlie</x18tc:text>
  </x18tc:threadedComment>
  <x18tc:threadedComment ref="I13" dT="2026-01-07T20:53:38.00" personId="{179de1a7-cfc2-40d7-b867-495d7f2806c9}" id="{6664a904-9f0e-4bb3-8e30-91a1888e4d05}" done="1">
    <x18tc:text xml:space="preserve">50.000 Charlie</x18tc:text>
  </x18tc:threadedComment>
  <x18tc:threadedComment ref="K13" dT="2026-01-09T15:46:44.00" personId="{179de1a7-cfc2-40d7-b867-495d7f2806c9}" id="{22c17f84-640b-4b05-9f26-6ee900f6a841}" done="1">
    <x18tc:text xml:space="preserve">20000 Charlie</x18tc:text>
  </x18tc:threadedComment>
  <x18tc:threadedComment ref="AG13" dT="2026-02-03T17:28:24.00" personId="{179de1a7-cfc2-40d7-b867-495d7f2806c9}" id="{92498361-4d08-4f7f-8308-b3688cf31f10}" done="1">
    <x18tc:text xml:space="preserve">20000 charlie</x18tc:text>
  </x18tc:threadedComment>
  <x18tc:threadedComment ref="Z13" dT="2026-01-27T16:40:11.00" personId="{179de1a7-cfc2-40d7-b867-495d7f2806c9}" id="{13327caa-cedb-4050-aa16-a9b241980128}" done="1">
    <x18tc:text xml:space="preserve">20000 charlie</x18tc:text>
  </x18tc:threadedComment>
  <x18tc:threadedComment ref="AA13" dT="2026-01-27T16:38:56.00" personId="{179de1a7-cfc2-40d7-b867-495d7f2806c9}" id="{e7d403ab-2aca-463b-9a20-deb4e83705dc}" done="1">
    <x18tc:text xml:space="preserve">50000 charlie</x18tc:text>
  </x18tc:threadedComment>
  <x18tc:threadedComment ref="AB13" dT="2026-01-27T16:37:58.00" personId="{179de1a7-cfc2-40d7-b867-495d7f2806c9}" id="{b5753ed4-99e2-4a73-8077-dfea660c545b}" done="1">
    <x18tc:text xml:space="preserve">60000 charlie</x18tc:text>
  </x18tc:threadedComment>
  <x18tc:threadedComment ref="W55" dT="2026-01-21T21:31:31.00" personId="{179de1a7-cfc2-40d7-b867-495d7f2806c9}" id="{8117fb19-ab14-4ed8-8c5c-bafaece0c3b3}" done="0">
    <x18tc:text xml:space="preserve">Carpetas</x18tc:text>
  </x18tc:threadedComment>
  <x18tc:threadedComment ref="AC86" dT="2026-01-28T15:54:06.00" personId="{179de1a7-cfc2-40d7-b867-495d7f2806c9}" id="{7a111d69-f089-4b79-9a34-53d121b68c46}" done="0">
    <x18tc:text xml:space="preserve">20.000 adelanto paula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13" dT="2026-02-15T17:09:33.00" personId="{179de1a7-cfc2-40d7-b867-495d7f2806c9}" id="{632067ba-0725-4984-af15-df2244bfe1d4}" done="1">
    <x18tc:text xml:space="preserve">50.000 charlie</x18tc:text>
  </x18tc:threadedComment>
  <x18tc:threadedComment ref="Q13" dT="2026-02-15T17:09:59.00" personId="{179de1a7-cfc2-40d7-b867-495d7f2806c9}" id="{eac4ba73-c553-46e1-87c1-d069bba0aea3}" done="1">
    <x18tc:text xml:space="preserve">50.000 charlie</x18tc:text>
  </x18tc:threadedComment>
  <x18tc:threadedComment ref="K13" dT="2026-02-10T16:08:25.00" personId="{179de1a7-cfc2-40d7-b867-495d7f2806c9}" id="{8956e468-2d19-4f17-9bdf-1902ff8f114e}" done="1">
    <x18tc:text xml:space="preserve">250.000 Charlie</x18tc:text>
  </x18tc:threadedComment>
  <x18tc:threadedComment ref="O13" dT="2026-02-15T17:12:48.00" personId="{179de1a7-cfc2-40d7-b867-495d7f2806c9}" id="{ddc9467f-a8cc-47e0-be4e-20c474960c1c}" done="1">
    <x18tc:text xml:space="preserve">500.000 charlie</x18tc:text>
  </x18tc:threadedComment>
  <x18tc:threadedComment ref="O13" dT="2026-02-15T17:09:07.00" personId="{179de1a7-cfc2-40d7-b867-495d7f2806c9}" id="{d40f45f8-fe25-44bd-b969-b86a03632ca2}" done="1">
    <x18tc:text xml:space="preserve">100.000 charlie</x18tc:text>
  </x18tc:threadedComment>
  <x18tc:threadedComment ref="T13" dT="2026-02-19T15:18:21.00" personId="{179de1a7-cfc2-40d7-b867-495d7f2806c9}" id="{6da5f60d-c487-40b5-b2da-6cc67e6d8f6f}" done="1">
    <x18tc:text xml:space="preserve">150000 charlie</x18tc:text>
  </x18tc:threadedComment>
  <x18tc:threadedComment ref="Q13" dT="2026-02-17T19:23:33.00" personId="{179de1a7-cfc2-40d7-b867-495d7f2806c9}" id="{7a8b95b4-33f2-4995-a536-2bed9d94dc74}" done="1">
    <x18tc:text xml:space="preserve">350.000 Charlie</x18tc:text>
  </x18tc:threadedComment>
  <x18tc:threadedComment ref="AC13" dT="2026-02-28T21:43:27.00" personId="{179de1a7-cfc2-40d7-b867-495d7f2806c9}" id="{37f7139c-f40a-4949-a53e-107559e0627a}" done="1">
    <x18tc:text xml:space="preserve">110.000 charlie</x18tc:text>
  </x18tc:threadedComment>
  <x18tc:threadedComment ref="Y13" dT="2026-02-24T15:22:20.00" personId="{179de1a7-cfc2-40d7-b867-495d7f2806c9}" id="{c18bb13e-1678-4056-9170-b02913f6b2ea}" done="1">
    <x18tc:text xml:space="preserve">Charlie</x18tc:text>
  </x18tc:threadedComment>
  <x18tc:threadedComment ref="M28" dT="2026-02-11T15:34:13.00" personId="{179de1a7-cfc2-40d7-b867-495d7f2806c9}" id="{9e44b216-8ea1-4917-b825-318884b5abc5}" done="0">
    <x18tc:text xml:space="preserve">dic, ene, feb</x18tc:text>
  </x18tc:threadedComment>
  <x18tc:threadedComment ref="L13" dT="2026-02-11T15:38:37.00" personId="{179de1a7-cfc2-40d7-b867-495d7f2806c9}" id="{22e8d62b-1b96-4267-919e-35b0636b523a}" done="1">
    <x18tc:text xml:space="preserve">Charlie</x18tc:text>
  </x18tc:threadedComment>
  <x18tc:threadedComment ref="R13" dT="2026-02-17T19:22:31.00" personId="{179de1a7-cfc2-40d7-b867-495d7f2806c9}" id="{696eb44c-acb4-422e-932a-bed1f12b0d01}" done="1">
    <x18tc:text xml:space="preserve">200.000 charlie</x18tc:text>
  </x18tc:threadedComment>
  <x18tc:threadedComment ref="X13" dT="2026-02-24T15:21:04.00" personId="{179de1a7-cfc2-40d7-b867-495d7f2806c9}" id="{a2e08339-35a8-4296-9162-e3638470907b}" done="1">
    <x18tc:text xml:space="preserve">50.000 charlie</x18tc:text>
  </x18tc:threadedComment>
  <x18tc:threadedComment ref="C13" dT="2026-02-04T18:43:13.00" personId="{179de1a7-cfc2-40d7-b867-495d7f2806c9}" id="{a6e75d63-cb4f-4cd2-8c4c-188f9d2e6dc8}" done="1">
    <x18tc:text xml:space="preserve">70.000 Charlie</x18tc:text>
  </x18tc:threadedComment>
  <x18tc:threadedComment ref="P47" dT="2026-02-19T21:20:43.00" personId="{179de1a7-cfc2-40d7-b867-495d7f2806c9}" id="{711f3114-207d-4044-bc7e-e4c74adcfc70}" done="0">
    <x18tc:text xml:space="preserve">flores</x18tc:text>
  </x18tc:threadedComment>
  <x18tc:threadedComment ref="D89" dT="2026-02-04T18:48:12.00" personId="{179de1a7-cfc2-40d7-b867-495d7f2806c9}" id="{fffe9aa4-9c94-4506-bb07-746faf938f9c}" done="0">
    <x18tc:text xml:space="preserve">Adelanto Cristian 50.000</x18tc:text>
  </x18tc:threadedComment>
  <x18tc:threadedComment ref="D13" dT="2026-02-04T18:43:43.00" personId="{179de1a7-cfc2-40d7-b867-495d7f2806c9}" id="{ad9e10d3-0d94-471c-a8db-47ee2529e8c6}" done="1">
    <x18tc:text xml:space="preserve">100.000 Charlie</x18tc:text>
  </x18tc:threadedComment>
  <x18tc:threadedComment ref="F92" dT="2026-02-05T17:31:25.00" personId="{179de1a7-cfc2-40d7-b867-495d7f2806c9}" id="{adee7a41-60bf-48a7-bd33-3809bb00f724}" done="0">
    <x18tc:text xml:space="preserve">Bono Horus</x18tc:text>
  </x18tc:threadedComment>
  <x18tc:threadedComment ref="S89" dT="2026-02-17T21:44:22.00" personId="{179de1a7-cfc2-40d7-b867-495d7f2806c9}" id="{515330f6-031c-4f72-985d-f95a59db17ce}" done="0">
    <x18tc:text xml:space="preserve">adelanto maxi</x18tc:text>
  </x18tc:threadedComment>
  <x18tc:threadedComment ref="E13" dT="2026-02-04T18:53:42.00" personId="{179de1a7-cfc2-40d7-b867-495d7f2806c9}" id="{f53c0499-eec5-419e-be59-8ba25606e9d7}" done="1">
    <x18tc:text xml:space="preserve">80.000 Charlie</x18tc:text>
  </x18tc:threadedComment>
  <x18tc:threadedComment ref="S92" dT="2026-02-17T21:44:40.00" personId="{179de1a7-cfc2-40d7-b867-495d7f2806c9}" id="{0bcb69a1-066c-47e7-9b70-88584fc0c44a}" done="0">
    <x18tc:text xml:space="preserve">vacaciones Maxi</x18tc:text>
  </x18tc:threadedComment>
  <x18tc:threadedComment ref="E89" dT="2026-02-04T18:53:09.00" personId="{179de1a7-cfc2-40d7-b867-495d7f2806c9}" id="{98ff9111-ef52-4e09-8399-985e52f2270d}" done="0">
    <x18tc:text xml:space="preserve">755.213 sueldo charlie 124.000 sueldo Parce</x18tc:text>
  </x18tc:threadedComment>
  <x18tc:threadedComment ref="N13" dT="2026-02-15T17:11:49.00" personId="{179de1a7-cfc2-40d7-b867-495d7f2806c9}" id="{f8a6cfba-6325-476e-b4e3-4e66fd14ff9d}" done="1">
    <x18tc:text xml:space="preserve">400.000 charlie</x18tc:text>
  </x18tc:threadedComment>
  <x18tc:threadedComment ref="S13" dT="2026-02-18T16:34:50.00" personId="{179de1a7-cfc2-40d7-b867-495d7f2806c9}" id="{59130fb2-4ea1-40bd-949b-20fd63090607}" done="1">
    <x18tc:text xml:space="preserve">Charlie 150.000</x18tc:text>
  </x18tc:threadedComment>
  <x18tc:threadedComment ref="N13" dT="2026-02-15T17:11:12.00" personId="{179de1a7-cfc2-40d7-b867-495d7f2806c9}" id="{47b2b04c-5003-4365-a377-faa51a9e95ff}" done="1">
    <x18tc:text xml:space="preserve">200.000 Charlie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3" dT="2026-03-10T15:54:08.00" personId="{179de1a7-cfc2-40d7-b867-495d7f2806c9}" id="{a70007b6-035c-4c3a-b271-5d57d5e9ae63}" done="1">
    <x18tc:text xml:space="preserve">Carlos Gomez</x18tc:text>
  </x18tc:threadedComment>
  <x18tc:threadedComment ref="F13" dT="2026-03-05T18:49:31.00" personId="{179de1a7-cfc2-40d7-b867-495d7f2806c9}" id="{ddd93658-5283-4f21-8678-08f3f453eacc}" done="1">
    <x18tc:text xml:space="preserve">100.000 Charlie</x18tc:text>
  </x18tc:threadedComment>
  <x18tc:threadedComment ref="D13" dT="2026-03-05T18:44:36.00" personId="{179de1a7-cfc2-40d7-b867-495d7f2806c9}" id="{bc077924-3e1d-4f8b-bcb7-17fa636dd629}" done="1">
    <x18tc:text xml:space="preserve">80.000 Charlie</x18tc:text>
  </x18tc:threadedComment>
  <x18tc:threadedComment ref="C13" dT="2026-03-05T18:24:56.00" personId="{179de1a7-cfc2-40d7-b867-495d7f2806c9}" id="{81138568-a753-4172-8809-677ea7f2bd1d}" done="1">
    <x18tc:text xml:space="preserve">50.000 Charlie</x18tc:text>
  </x18tc:threadedComment>
  <x18tc:threadedComment ref="V13" dT="2026-04-01T17:41:12.00" personId="{179de1a7-cfc2-40d7-b867-495d7f2806c9}" id="{2308cef0-4782-45b6-bd52-fb9e2838e4d4}" done="1">
    <x18tc:text xml:space="preserve">100000 charlie</x18tc:text>
  </x18tc:threadedComment>
  <x18tc:threadedComment ref="AB13" dT="2026-03-27T15:34:17.00" personId="{179de1a7-cfc2-40d7-b867-495d7f2806c9}" id="{f148aa21-d2af-4432-a146-9ac2aba2ca03}" done="1">
    <x18tc:text xml:space="preserve">50.000 Charlie</x18tc:text>
  </x18tc:threadedComment>
  <x18tc:threadedComment ref="AA13" dT="2026-03-27T15:35:28.00" personId="{179de1a7-cfc2-40d7-b867-495d7f2806c9}" id="{c210639b-54e8-40bd-a942-d603c21f9273}" done="1">
    <x18tc:text xml:space="preserve">20.000 charlie</x18tc:text>
  </x18tc:threadedComment>
  <x18tc:threadedComment ref="E97" dT="2026-03-10T20:23:43.00" personId="{179de1a7-cfc2-40d7-b867-495d7f2806c9}" id="{d88a9e6c-02b7-4f7a-84f7-7a2362687ea8}" done="0">
    <x18tc:text xml:space="preserve">Torta Maxi</x18tc:text>
  </x18tc:threadedComment>
  <x18tc:threadedComment ref="E13" dT="2026-04-01T17:18:08.00" personId="{179de1a7-cfc2-40d7-b867-495d7f2806c9}" id="{eb0e30ff-141b-41ed-812d-7148f6dd16fd}" done="1">
    <x18tc:text xml:space="preserve">60.000 charlie</x18tc:text>
  </x18tc:threadedComment>
  <x18tc:threadedComment ref="X13" dT="2026-03-24T18:11:53.00" personId="{179de1a7-cfc2-40d7-b867-495d7f2806c9}" id="{9303da47-4942-4fdf-95ef-af381efcc3c4}" done="1">
    <x18tc:text xml:space="preserve">50000 Charlie</x18tc:text>
  </x18tc:threadedComment>
  <x18tc:threadedComment ref="W13" dT="2026-03-24T18:12:45.00" personId="{179de1a7-cfc2-40d7-b867-495d7f2806c9}" id="{fef583f3-6165-47f0-9e72-4e8e5f3e4a4c}" done="1">
    <x18tc:text xml:space="preserve">100000 Charlie</x18tc:text>
  </x18tc:threadedComment>
  <x18tc:threadedComment ref="Y13" dT="2026-03-24T18:12:13.00" personId="{179de1a7-cfc2-40d7-b867-495d7f2806c9}" id="{fdee1f95-b38b-4a52-871e-37760c0b7467}" done="1">
    <x18tc:text xml:space="preserve">250000 Charlie</x18tc:text>
  </x18tc:threadedComment>
  <x18tc:threadedComment ref="AE13" dT="2026-03-31T20:24:31.00" personId="{179de1a7-cfc2-40d7-b867-495d7f2806c9}" id="{fb2d8b41-e2f1-4841-895f-16776443e23d}" done="1">
    <x18tc:text xml:space="preserve">30000 charlie</x18tc:text>
  </x18tc:threadedComment>
  <x18tc:threadedComment ref="R13" dT="2026-04-01T17:37:50.00" personId="{179de1a7-cfc2-40d7-b867-495d7f2806c9}" id="{df5d7fb0-5d74-4d7f-b940-612c2f3cd021}" done="1">
    <x18tc:text xml:space="preserve">150.000 charlie</x18tc:text>
  </x18tc:threadedComment>
  <x18tc:threadedComment ref="AF13" dT="2026-03-31T20:23:58.00" personId="{179de1a7-cfc2-40d7-b867-495d7f2806c9}" id="{2a5bcde4-7324-4450-8076-93376b03ad25}" done="1">
    <x18tc:text xml:space="preserve">30.000 charlie</x18tc:text>
  </x18tc:threadedComment>
  <x18tc:threadedComment ref="S13" dT="2026-04-01T17:39:05.00" personId="{179de1a7-cfc2-40d7-b867-495d7f2806c9}" id="{9f0ef042-28d0-4e88-85e1-e6badc2ff42f}" done="1">
    <x18tc:text xml:space="preserve">60.000 charlie</x18tc:text>
  </x18tc:threadedComment>
  <x18tc:threadedComment ref="AD13" dT="2026-03-31T21:08:38.00" personId="{179de1a7-cfc2-40d7-b867-495d7f2806c9}" id="{914974e8-f31c-49d0-97d6-26a4173aab3e}" done="1">
    <x18tc:text xml:space="preserve">90.000 charlie</x18tc:text>
  </x18tc:threadedComment>
  <x18tc:threadedComment ref="U13" dT="2026-04-01T17:40:51.00" personId="{179de1a7-cfc2-40d7-b867-495d7f2806c9}" id="{bbf73d65-b0de-4914-91ff-747a579d099a}" done="1">
    <x18tc:text xml:space="preserve">charlie 50.000</x18tc:text>
  </x18tc:threadedComment>
  <x18tc:threadedComment ref="AG13" dT="2026-03-31T21:03:16.00" personId="{179de1a7-cfc2-40d7-b867-495d7f2806c9}" id="{5e4002b3-4b70-4c76-a90c-e60ce75e5a7f}" done="1">
    <x18tc:text xml:space="preserve">60.000 charlie</x18tc:text>
  </x18tc:threadedComment>
  <x18tc:threadedComment ref="N13" dT="2026-04-01T17:34:00.00" personId="{179de1a7-cfc2-40d7-b867-495d7f2806c9}" id="{e6336d69-5c6c-40d5-8e2d-ad9b8448fd4c}" done="1">
    <x18tc:text xml:space="preserve">200.000 charlie</x18tc:text>
  </x18tc:threadedComment>
  <x18tc:threadedComment ref="Q13" dT="2026-04-01T17:37:08.00" personId="{179de1a7-cfc2-40d7-b867-495d7f2806c9}" id="{85b8fc2b-36bb-45e2-af31-89c30e9f0edf}" done="1">
    <x18tc:text xml:space="preserve">270.000 charlie</x18tc:text>
  </x18tc:threadedComment>
  <x18tc:threadedComment ref="AC13" dT="2026-03-31T21:09:38.00" personId="{179de1a7-cfc2-40d7-b867-495d7f2806c9}" id="{50d1c067-35f4-4689-8bf4-196ba4c6632e}" done="1">
    <x18tc:text xml:space="preserve">80.000 charlie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0" dT="2026-04-07T18:06:11.00" personId="{179de1a7-cfc2-40d7-b867-495d7f2806c9}" id="{2b398ed9-ac54-4548-abc4-bfa29533c83e}" done="0">
    <x18tc:text xml:space="preserve">art de limpieza salón</x18tc:text>
  </x18tc:threadedComment>
  <x18tc:threadedComment ref="AD13" dT="2026-04-29T01:19:37.00" personId="{179de1a7-cfc2-40d7-b867-495d7f2806c9}" id="{0842686c-c8f4-4eba-a791-d5ced78e3126}" done="1">
    <x18tc:text xml:space="preserve">300.000 Charlie</x18tc:text>
  </x18tc:threadedComment>
  <x18tc:threadedComment ref="Y13" dT="2026-04-24T17:10:55.00" personId="{179de1a7-cfc2-40d7-b867-495d7f2806c9}" id="{c7d9fc7b-ddbc-4fb6-98fc-e4a7eb369b9f}" done="1">
    <x18tc:text xml:space="preserve">50.000 charlie</x18tc:text>
  </x18tc:threadedComment>
  <x18tc:threadedComment ref="W13" dT="2026-04-22T17:16:56.00" personId="{179de1a7-cfc2-40d7-b867-495d7f2806c9}" id="{fa6c5de7-bb7c-4b3b-9c8f-2f412b969e2c}" done="1">
    <x18tc:text xml:space="preserve">130.000 charlie</x18tc:text>
  </x18tc:threadedComment>
  <x18tc:threadedComment ref="K13" dT="2026-04-09T19:29:29.00" personId="{179de1a7-cfc2-40d7-b867-495d7f2806c9}" id="{31ce2070-9351-47ec-8872-8307cb2b9c2a}" done="1">
    <x18tc:text xml:space="preserve">100000 Charlie</x18tc:text>
  </x18tc:threadedComment>
  <x18tc:threadedComment ref="K98" dT="2026-04-09T19:33:51.00" personId="{179de1a7-cfc2-40d7-b867-495d7f2806c9}" id="{5c1d5076-c540-489a-9c12-eaab3c736d94}" done="0">
    <x18tc:text xml:space="preserve">torta charlie</x18tc:text>
  </x18tc:threadedComment>
  <x18tc:threadedComment ref="C98" dT="2026-04-07T18:05:11.00" personId="{179de1a7-cfc2-40d7-b867-495d7f2806c9}" id="{49084d96-2306-4616-97e5-96a9ca0ae660}" done="0">
    <x18tc:text xml:space="preserve">torta camilo</x18tc:text>
  </x18tc:threadedComment>
  <x18tc:threadedComment ref="J98" dT="2026-04-09T19:33:19.00" personId="{179de1a7-cfc2-40d7-b867-495d7f2806c9}" id="{4153db98-4ff8-4eba-b6e5-c9a39220d836}" done="0">
    <x18tc:text xml:space="preserve">torta felipe</x18tc:text>
  </x18tc:threadedComment>
  <x18tc:threadedComment ref="S13" dT="2026-04-19T16:57:49.00" personId="{179de1a7-cfc2-40d7-b867-495d7f2806c9}" id="{c7c6624a-8177-4caa-8266-c0a062fa6875}" done="1">
    <x18tc:text xml:space="preserve">Charlie</x18tc:text>
  </x18tc:threadedComment>
  <x18tc:threadedComment ref="D13" dT="2026-04-03T01:35:37.00" personId="{179de1a7-cfc2-40d7-b867-495d7f2806c9}" id="{1490fdaa-206e-4856-a9c8-164e9259e1f3}" done="1">
    <x18tc:text xml:space="preserve">Charlie 50.000</x18tc:text>
  </x18tc:threadedComment>
  <x18tc:threadedComment ref="AF13" dT="2026-05-01T23:20:56.00" personId="{179de1a7-cfc2-40d7-b867-495d7f2806c9}" id="{2afaffbb-f8c7-403c-81b5-a8e5764d2d93}" done="1">
    <x18tc:text xml:space="preserve">300000 charlie</x18tc:text>
  </x18tc:threadedComment>
  <x18tc:threadedComment ref="C13" dT="2026-04-03T01:34:46.00" personId="{179de1a7-cfc2-40d7-b867-495d7f2806c9}" id="{32f49ebe-e5fb-412f-8e61-1f3c387a203f}" done="1">
    <x18tc:text xml:space="preserve">50000 charlie</x18tc:text>
  </x18tc:threadedComment>
  <x18tc:threadedComment ref="V13" dT="2026-04-22T17:14:55.00" personId="{179de1a7-cfc2-40d7-b867-495d7f2806c9}" id="{6359cd63-bb4c-41e4-a5eb-4b799b16a970}" done="1">
    <x18tc:text xml:space="preserve">20.000 charlie</x18tc:text>
  </x18tc:threadedComment>
  <x18tc:threadedComment ref="T13" dT="2026-04-19T16:59:26.00" personId="{179de1a7-cfc2-40d7-b867-495d7f2806c9}" id="{84b2d28c-08f1-4eeb-b541-2574869cd08b}" done="1">
    <x18tc:text xml:space="preserve">50000 charlie</x18tc:text>
  </x18tc:threadedComment>
  <x18tc:threadedComment ref="R13" dT="2026-04-16T19:10:04.00" personId="{179de1a7-cfc2-40d7-b867-495d7f2806c9}" id="{da0f4710-04dc-4fc3-8d44-5661d960905c}" done="1">
    <x18tc:text xml:space="preserve">Charlie 100.000</x18tc:text>
  </x18tc:threadedComment>
  <x18tc:threadedComment ref="AA13" dT="2026-04-25T22:10:13.00" personId="{179de1a7-cfc2-40d7-b867-495d7f2806c9}" id="{62e81a12-649f-4f4a-a626-7e44684f151b}" done="1">
    <x18tc:text xml:space="preserve">100.000 charlie</x18tc:text>
  </x18tc:threadedComment>
  <x18tc:threadedComment ref="F56" dT="2026-04-05T17:35:00.00" personId="{179de1a7-cfc2-40d7-b867-495d7f2806c9}" id="{e5b66424-1dc8-48bb-b0d4-fea418c85591}" done="0">
    <x18tc:text xml:space="preserve">contodora marzo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3" dT="2026-05-08T18:22:00.00" personId="{179de1a7-cfc2-40d7-b867-495d7f2806c9}" id="{9ecced30-052c-4b31-a0b1-24e7afa25af6}" done="1">
    <x18tc:text xml:space="preserve">200.000 charlie</x18tc:text>
  </x18tc:threadedComment>
  <x18tc:threadedComment ref="K13" dT="2026-05-16T16:23:17.00" personId="{179de1a7-cfc2-40d7-b867-495d7f2806c9}" id="{17c40d09-9273-4145-84fb-9771444f97e4}" done="1">
    <x18tc:text xml:space="preserve">250.000 charlie</x18tc:text>
  </x18tc:threadedComment>
  <x18tc:threadedComment ref="L13" dT="2026-05-16T16:23:32.00" personId="{179de1a7-cfc2-40d7-b867-495d7f2806c9}" id="{70487fc9-acbf-4fbd-8ff3-3acecf918bf9}" done="1">
    <x18tc:text xml:space="preserve">500.000 charlie</x18tc:text>
  </x18tc:threadedComment>
  <x18tc:threadedComment ref="M13" dT="2026-05-16T16:24:51.00" personId="{179de1a7-cfc2-40d7-b867-495d7f2806c9}" id="{855b4b3e-ed37-4a25-a71a-b6d052ba1591}" done="1">
    <x18tc:text xml:space="preserve">30.000 charlie</x18tc:text>
  </x18tc:threadedComment>
  <x18tc:threadedComment ref="I13" dT="2026-05-08T18:25:31.00" personId="{179de1a7-cfc2-40d7-b867-495d7f2806c9}" id="{1f6f5244-9eaf-4696-aeeb-571ef6217f91}" done="1">
    <x18tc:text xml:space="preserve">90.000 charlie</x18tc:text>
  </x18tc:threadedComment>
  <x18tc:threadedComment ref="H13" dT="2026-05-08T18:24:20.00" personId="{179de1a7-cfc2-40d7-b867-495d7f2806c9}" id="{635eb9e2-c095-4913-b817-fec87a8f0fa6}" done="1">
    <x18tc:text xml:space="preserve">998.000 charlie</x18tc:text>
  </x18tc:threadedComment>
  <x18tc:threadedComment ref="O13" dT="2026-05-16T16:27:21.00" personId="{179de1a7-cfc2-40d7-b867-495d7f2806c9}" id="{8e580d4a-8538-448d-88c7-5fb83de0ab19}" done="1">
    <x18tc:text xml:space="preserve">100.000 charlie</x18tc:text>
  </x18tc:threadedComment>
  <x18tc:threadedComment ref="R13" dT="2026-05-16T16:33:26.00" personId="{179de1a7-cfc2-40d7-b867-495d7f2806c9}" id="{8204cffe-fc35-407d-bfba-4b0ef37a2bdc}" done="1">
    <x18tc:text xml:space="preserve">maxi</x18tc:text>
  </x18tc:threadedComment>
  <x18tc:threadedComment ref="J13" dT="2026-05-08T18:25:53.00" personId="{179de1a7-cfc2-40d7-b867-495d7f2806c9}" id="{47fd930e-ae14-470c-ae72-13adc96cfa4b}" done="1">
    <x18tc:text xml:space="preserve">100.000 Charlie</x18tc:text>
  </x18tc:threadedComment>
  <x18tc:threadedComment ref="T13" dT="2026-05-20T16:07:52.00" personId="{179de1a7-cfc2-40d7-b867-495d7f2806c9}" id="{f54a099d-fa59-40aa-bbdc-ac42a80b0586}" done="1">
    <x18tc:text xml:space="preserve">Maxi</x18tc:text>
  </x18tc:threadedComment>
  <x18tc:threadedComment ref="AG13" dT="2026-06-02T16:38:26.00" personId="{179de1a7-cfc2-40d7-b867-495d7f2806c9}" id="{05d80b52-3c39-4338-b403-f467155895b9}" done="1">
    <x18tc:text xml:space="preserve">Maxi</x18tc:text>
  </x18tc:threadedComment>
  <x18tc:threadedComment ref="Y13" dT="2026-05-26T20:20:30.00" personId="{179de1a7-cfc2-40d7-b867-495d7f2806c9}" id="{1a99f475-eed0-4002-9ffa-bd2cf601e99c}" done="1">
    <x18tc:text xml:space="preserve">Maxi 300.000</x18tc:text>
  </x18tc:threadedComment>
  <x18tc:threadedComment ref="J13" dT="2026-05-20T16:04:29.00" personId="{179de1a7-cfc2-40d7-b867-495d7f2806c9}" id="{985dbd2b-cfa3-45bd-83bb-da0325c85e42}" done="1">
    <x18tc:text xml:space="preserve">270.000 charlie</x18tc:text>
  </x18tc:threadedComment>
  <x18tc:threadedComment ref="AE13" dT="2026-06-02T16:37:43.00" personId="{179de1a7-cfc2-40d7-b867-495d7f2806c9}" id="{f34f39a1-b5e3-4ff5-bf5e-5d405ec101e5}" done="1">
    <x18tc:text xml:space="preserve">Maxi</x18tc:text>
  </x18tc:threadedComment>
  <x18tc:threadedComment ref="D13" dT="2026-05-08T18:20:02.00" personId="{179de1a7-cfc2-40d7-b867-495d7f2806c9}" id="{c018d58b-fb89-4682-ab8b-c23c690402ab}" done="1">
    <x18tc:text xml:space="preserve">210.000 charlie</x18tc:text>
  </x18tc:threadedComment>
  <x18tc:threadedComment ref="E13" dT="2026-05-08T18:20:22.00" personId="{179de1a7-cfc2-40d7-b867-495d7f2806c9}" id="{bc55a021-f25a-4b3f-a5fe-2dfb29aabc6d}" done="1">
    <x18tc:text xml:space="preserve">50.000 charlie</x18tc:text>
  </x18tc:threadedComment>
  <x18tc:threadedComment ref="AA13" dT="2026-05-26T20:21:40.00" personId="{179de1a7-cfc2-40d7-b867-495d7f2806c9}" id="{b137918a-4409-4fd3-86a9-cc739be28404}" done="1">
    <x18tc:text xml:space="preserve">Maxi 100.000</x18tc:text>
  </x18tc:threadedComment>
  <x18tc:threadedComment ref="AC13" dT="2026-05-28T21:51:08.00" personId="{179de1a7-cfc2-40d7-b867-495d7f2806c9}" id="{600b5313-3ef9-4bae-a84b-a606716fe0d3}" done="1">
    <x18tc:text xml:space="preserve">50.000 Maxi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3" dT="2026-06-20T16:14:42.00" personId="{179de1a7-cfc2-40d7-b867-495d7f2806c9}" id="{33c6782b-31bd-4541-b921-f6f4773c1677}" done="0">
    <x18tc:text xml:space="preserve">100.000 charlie</x18tc:text>
  </x18tc:threadedComment>
  <x18tc:threadedComment ref="Z13" dT="2026-06-24T21:39:56.00" personId="{179de1a7-cfc2-40d7-b867-495d7f2806c9}" id="{76256850-3f06-4799-aa86-e2a8c304d603}" done="1">
    <x18tc:text xml:space="preserve">100.000 charlie</x18tc:text>
  </x18tc:threadedComment>
  <x18tc:threadedComment ref="Y13" dT="2026-06-24T21:38:40.00" personId="{179de1a7-cfc2-40d7-b867-495d7f2806c9}" id="{aaea8ca2-5309-44d8-83db-3b09f57bcb70}" done="0">
    <x18tc:text xml:space="preserve">100.000 charlie</x18tc:text>
  </x18tc:threadedComment>
  <x18tc:threadedComment ref="F13" dT="2026-06-05T22:38:41.00" personId="{179de1a7-cfc2-40d7-b867-495d7f2806c9}" id="{96efd9f6-aff4-4071-a2b1-43b61b326425}" done="0">
    <x18tc:text xml:space="preserve">100.000 charlie</x18tc:text>
  </x18tc:threadedComment>
  <x18tc:threadedComment ref="C13" dT="2026-06-05T22:36:08.00" personId="{179de1a7-cfc2-40d7-b867-495d7f2806c9}" id="{7ba0948e-5c4d-4ec4-8a17-40ecb5a9d59c}" done="0">
    <x18tc:text xml:space="preserve">100.000 charlie</x18tc:text>
  </x18tc:threadedComment>
  <x18tc:threadedComment ref="U13" dT="2026-06-24T21:32:23.00" personId="{179de1a7-cfc2-40d7-b867-495d7f2806c9}" id="{3c8a4085-6409-419e-b3ee-0399cc835e55}" done="0">
    <x18tc:text xml:space="preserve">350000 charlie</x18tc:text>
  </x18tc:threadedComment>
  <x18tc:threadedComment ref="E13" dT="2026-06-05T22:38:12.00" personId="{179de1a7-cfc2-40d7-b867-495d7f2806c9}" id="{133df2c3-96a6-4df0-94a9-86c0cef315b8}" done="0">
    <x18tc:text xml:space="preserve">100.000 charlie</x18tc:text>
  </x18tc:threadedComment>
  <x18tc:threadedComment ref="G13" dT="2026-06-05T22:41:39.00" personId="{179de1a7-cfc2-40d7-b867-495d7f2806c9}" id="{02d127e8-63b6-40e5-87ff-368618f74355}" done="0">
    <x18tc:text xml:space="preserve">314.000 charlie</x18tc:text>
  </x18tc:threadedComment>
  <x18tc:threadedComment ref="W13" dT="2026-06-24T21:36:17.00" personId="{179de1a7-cfc2-40d7-b867-495d7f2806c9}" id="{b98aef90-42f5-472c-89da-f24f4fe2f4a9}" done="0">
    <x18tc:text xml:space="preserve">250.000 charlie</x18tc:text>
  </x18tc:threadedComment>
  <x18tc:threadedComment ref="V13" dT="2026-06-24T21:35:29.00" personId="{179de1a7-cfc2-40d7-b867-495d7f2806c9}" id="{0bcaada5-1c88-4ac0-8740-a34411267a7d}" done="0">
    <x18tc:text xml:space="preserve">50.000 charlie</x18tc:text>
  </x18tc:threadedComment>
  <x18tc:threadedComment ref="AE13" dT="2026-06-30T17:12:13.00" personId="{179de1a7-cfc2-40d7-b867-495d7f2806c9}" id="{ad891eba-eb8a-4302-bd5e-f297a3f17ccc}" done="0">
    <x18tc:text xml:space="preserve">100.000 charlie</x18tc:text>
  </x18tc:threadedComment>
  <x18tc:threadedComment ref="I13" dT="2026-06-13T18:23:17.00" personId="{179de1a7-cfc2-40d7-b867-495d7f2806c9}" id="{2c8c744a-d05c-49ad-aa73-6ec59a159cb5}" done="0">
    <x18tc:text xml:space="preserve">250.000 charlie</x18tc:text>
  </x18tc:threadedComment>
  <x18tc:threadedComment ref="L13" dT="2026-06-13T18:25:57.00" personId="{179de1a7-cfc2-40d7-b867-495d7f2806c9}" id="{83c236c3-00c0-4f75-b4a2-877bbb2165e7}" done="0">
    <x18tc:text xml:space="preserve">100.000 charlie</x18tc:text>
  </x18tc:threadedComment>
  <x18tc:threadedComment ref="Z13" dT="2026-06-28T16:25:38.00" personId="{179de1a7-cfc2-40d7-b867-495d7f2806c9}" id="{9a38f121-732d-4cd6-9817-ffeec8f6b9b3}" done="0">
    <x18tc:text xml:space="preserve">200.000 charlie</x18tc:text>
  </x18tc:threadedComment>
  <x18tc:threadedComment ref="AD13" dT="2026-07-03T16:52:09.00" personId="{179de1a7-cfc2-40d7-b867-495d7f2806c9}" id="{e2c94691-8118-4e16-be7e-84953a2d92d1}" done="0">
    <x18tc:text xml:space="preserve">Charlie</x18tc:text>
  </x18tc:threadedComment>
  <x18tc:threadedComment ref="AA13" dT="2026-06-28T16:24:59.00" personId="{179de1a7-cfc2-40d7-b867-495d7f2806c9}" id="{282be730-39a4-4e48-8360-e2c8005c21b9}" done="0">
    <x18tc:text xml:space="preserve">200.000 Charlie</x18tc:text>
  </x18tc:threadedComment>
  <x18tc:threadedComment ref="X13" dT="2026-06-28T16:26:21.00" personId="{179de1a7-cfc2-40d7-b867-495d7f2806c9}" id="{df9c64c2-644d-4534-888a-0ebac6c19362}" done="0">
    <x18tc:text xml:space="preserve">50.000 charlie</x18tc:text>
  </x18tc:threadedComment>
  <x18tc:threadedComment ref="M13" dT="2026-06-17T16:49:24.00" personId="{179de1a7-cfc2-40d7-b867-495d7f2806c9}" id="{ffe97f66-239a-4eab-90c9-d42126cb91c6}" done="0">
    <x18tc:text xml:space="preserve">400.000 charlie</x18tc:text>
  </x18tc:threadedComment>
  <x18tc:threadedComment ref="N13" dT="2026-06-17T16:50:43.00" personId="{179de1a7-cfc2-40d7-b867-495d7f2806c9}" id="{b32626f6-4caf-40db-a730-313bdbe4d4fa}" done="0">
    <x18tc:text xml:space="preserve">450.000 charlie</x18tc:text>
  </x18tc:threadedComment>
  <x18tc:threadedComment ref="AC13" dT="2026-07-03T16:52:26.00" personId="{179de1a7-cfc2-40d7-b867-495d7f2806c9}" id="{78712737-f165-41b2-800f-6a27be4ae8fb}" done="0">
    <x18tc:text xml:space="preserve">Charlie</x18tc:text>
  </x18tc:threadedComment>
  <x18tc:threadedComment ref="Q13" dT="2026-06-17T16:52:46.00" personId="{179de1a7-cfc2-40d7-b867-495d7f2806c9}" id="{ab7980fa-abc5-40f4-9703-2536ab929661}" done="0">
    <x18tc:text xml:space="preserve">50.000 charlie</x18tc:text>
  </x18tc:threadedComment>
  <x18tc:threadedComment ref="AA103" dT="2026-06-28T16:24:33.00" personId="{179de1a7-cfc2-40d7-b867-495d7f2806c9}" id="{7632df9e-317b-4a97-a61e-5d9c0d1b5e58}" done="0">
    <x18tc:text xml:space="preserve">Rectificación IVA</x18tc:text>
  </x18tc:threadedComment>
  <x18tc:threadedComment ref="G57" dT="2026-06-06T16:07:07.00" personId="{179de1a7-cfc2-40d7-b867-495d7f2806c9}" id="{c7410584-40b5-4709-add2-15655505b3f1}" done="0">
    <x18tc:text xml:space="preserve">mayo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50" dT="2026-07-10T00:42:59.00" personId="{179de1a7-cfc2-40d7-b867-495d7f2806c9}" id="{308350bc-9b43-46c1-a086-b503068ef956}" done="0">
    <x18tc:text xml:space="preserve">Mano de obra arreglos</x18tc:text>
  </x18tc:threadedComment>
  <x18tc:threadedComment ref="K51" dT="2026-07-10T00:42:39.00" personId="{179de1a7-cfc2-40d7-b867-495d7f2806c9}" id="{4fd2151b-195e-4aab-844d-a11c6685bb98}" done="0">
    <x18tc:text xml:space="preserve">luces anubis, santuario, baños, interrumpor salón, ventiladores de los baños.</x18tc:text>
  </x18tc:threadedComment>
  <x18tc:threadedComment ref="C13" dT="2026-07-08T17:28:14.00" personId="{179de1a7-cfc2-40d7-b867-495d7f2806c9}" id="{92071242-85ca-4c1f-b7ed-ee9f70ed824a}" done="0">
    <x18tc:text xml:space="preserve">Charlie 50.000</x18tc:text>
  </x18tc:threadedComment>
  <x18tc:threadedComment ref="T13" dT="2026-07-30T21:47:54.00" personId="{179de1a7-cfc2-40d7-b867-495d7f2806c9}" id="{b449fca3-d385-4ef4-b543-d428b46a2906}" done="0">
    <x18tc:text xml:space="preserve">50.000 charlie</x18tc:text>
  </x18tc:threadedComment>
  <x18tc:threadedComment ref="W13" dT="2026-07-30T21:37:36.00" personId="{179de1a7-cfc2-40d7-b867-495d7f2806c9}" id="{267cba4e-b043-47b9-8be8-4f92fc06344d}" done="0">
    <x18tc:text xml:space="preserve">Charlie</x18tc:text>
  </x18tc:threadedComment>
  <x18tc:threadedComment ref="Z13" dT="2026-07-30T21:39:57.00" personId="{179de1a7-cfc2-40d7-b867-495d7f2806c9}" id="{a0657c3a-d1c1-4844-9f07-b8d550e5a001}" done="0">
    <x18tc:text xml:space="preserve">460.000 charlie</x18tc:text>
  </x18tc:threadedComment>
  <x18tc:threadedComment ref="AG13" dT="2026-08-04T22:14:30.00" personId="{179de1a7-cfc2-40d7-b867-495d7f2806c9}" id="{eb1a36e3-abf8-41ac-9c6e-e1c5596193c8}" done="0">
    <x18tc:text xml:space="preserve">charlie</x18tc:text>
  </x18tc:threadedComment>
  <x18tc:threadedComment ref="V13" dT="2026-08-04T22:07:49.00" personId="{179de1a7-cfc2-40d7-b867-495d7f2806c9}" id="{6b893690-0fee-4a87-9e25-bd1980e8fc99}" done="0">
    <x18tc:text xml:space="preserve">charlie</x18tc:text>
  </x18tc:threadedComment>
  <x18tc:threadedComment ref="I13" dT="2026-07-08T17:42:52.00" personId="{179de1a7-cfc2-40d7-b867-495d7f2806c9}" id="{bcaca102-621b-49ea-b825-16ca05a24a14}" done="0">
    <x18tc:text xml:space="preserve">50.000 charlie</x18tc:text>
  </x18tc:threadedComment>
  <x18tc:threadedComment ref="D48" dT="2026-07-08T18:05:50.00" personId="{179de1a7-cfc2-40d7-b867-495d7f2806c9}" id="{aae9003d-eba9-48c1-a56a-b8b667064048}" done="1">
    <x18tc:text xml:space="preserve">pilas calefon</x18tc:text>
  </x18tc:threadedComment>
  <x18tc:threadedComment ref="O82" dT="2026-08-03T21:49:01.00" personId="{179de1a7-cfc2-40d7-b867-495d7f2806c9}" id="{167ebb81-8004-49a2-8b94-56e6d2933050}" done="0">
    <x18tc:text xml:space="preserve">65.000 arriendo estacionamiento kojo</x18tc:text>
  </x18tc:threadedComment>
  <x18tc:threadedComment ref="D48" dT="2026-07-08T18:06:37.00" personId="{179de1a7-cfc2-40d7-b867-495d7f2806c9}" id="{f82d1266-3d06-4913-a009-13c2b9ca84a3}" done="0">
    <x18tc:text xml:space="preserve">Pilas calefont</x18tc:text>
  </x18tc:threadedComment>
  <x18tc:threadedComment ref="O13" dT="2026-08-04T21:59:11.00" personId="{179de1a7-cfc2-40d7-b867-495d7f2806c9}" id="{2fd78929-4443-4a3f-94cc-46dcd210236e}" done="0">
    <x18tc:text xml:space="preserve">50.000 charlie</x18tc:text>
  </x18tc:threadedComment>
  <x18tc:threadedComment ref="M13" dT="2026-08-04T21:58:27.00" personId="{179de1a7-cfc2-40d7-b867-495d7f2806c9}" id="{522e364c-e707-4115-a43a-ce98b1e5c98f}" done="0">
    <x18tc:text xml:space="preserve">200.000 charlie</x18tc:text>
  </x18tc:threadedComment>
  <x18tc:threadedComment ref="H13" dT="2026-07-08T17:41:24.00" personId="{179de1a7-cfc2-40d7-b867-495d7f2806c9}" id="{a731444c-d10c-442c-8415-46796143cb1e}" done="0">
    <x18tc:text xml:space="preserve">100.000 charlie</x18tc:text>
  </x18tc:threadedComment>
  <x18tc:threadedComment ref="P13" dT="2026-07-14T16:46:25.00" personId="{179de1a7-cfc2-40d7-b867-495d7f2806c9}" id="{e4f7d679-7a42-47a2-bbd5-7239a034dd94}" done="0">
    <x18tc:text xml:space="preserve">50.000 charlie</x18tc:text>
  </x18tc:threadedComment>
  <x18tc:threadedComment ref="G13" dT="2026-07-08T17:40:41.00" personId="{179de1a7-cfc2-40d7-b867-495d7f2806c9}" id="{82d6b0e8-9f20-41d9-883c-b90f1949d742}" done="0">
    <x18tc:text xml:space="preserve">150.000 charlie</x18tc:text>
  </x18tc:threadedComment>
  <x18tc:threadedComment ref="S13" dT="2026-07-17T18:51:08.00" personId="{179de1a7-cfc2-40d7-b867-495d7f2806c9}" id="{9acbc38e-e578-4a90-95f7-b1f3010b8ba6}" done="0">
    <x18tc:text xml:space="preserve">150.000 Charlie</x18tc:text>
  </x18tc:threadedComment>
  <x18tc:threadedComment ref="K13" dT="2026-07-09T18:00:27.00" personId="{179de1a7-cfc2-40d7-b867-495d7f2806c9}" id="{37b01102-a71a-4ee5-87eb-8c5baa77401c}" done="0">
    <x18tc:text xml:space="preserve">150.000 Charlie</x18tc:text>
  </x18tc:threadedComment>
  <x18tc:threadedComment ref="E13" dT="2026-07-08T17:39:07.00" personId="{179de1a7-cfc2-40d7-b867-495d7f2806c9}" id="{dbef4434-d5ba-418f-abe4-da6363d7af00}" done="0">
    <x18tc:text xml:space="preserve">400.000 charlie</x18tc:text>
  </x18tc:threadedComment>
  <x18tc:threadedComment ref="D13" dT="2026-07-08T17:38:16.00" personId="{179de1a7-cfc2-40d7-b867-495d7f2806c9}" id="{85ddd3ba-4d85-46d8-a35c-d0addf598483}" done="0">
    <x18tc:text xml:space="preserve">50.000 charlie</x18tc:text>
  </x18tc:threadedComment>
  <x18tc:threadedComment ref="J13" dT="2026-07-08T18:05:09.00" personId="{179de1a7-cfc2-40d7-b867-495d7f2806c9}" id="{2c247899-73db-492e-b7be-bc142cefb5bd}" done="0">
    <x18tc:text xml:space="preserve">9.000 fideos camote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3" dT="2026-08-13T14:55:41.00" personId="{179de1a7-cfc2-40d7-b867-495d7f2806c9}" id="{965e2f1d-d261-4472-8453-b5ad2085b624}" done="0">
    <x18tc:text xml:space="preserve">100.000 Charlie</x18tc:text>
  </x18tc:threadedComment>
  <x18tc:threadedComment ref="D92" dT="2026-08-06T19:48:40.00" personId="{179de1a7-cfc2-40d7-b867-495d7f2806c9}" id="{5d183e35-a003-4a87-8d38-c639ec29f117}" done="0">
    <x18tc:text xml:space="preserve">adelanto Cristian</x18tc:text>
  </x18tc:threadedComment>
  <x18tc:threadedComment ref="M92" dT="2026-08-13T14:56:13.00" personId="{179de1a7-cfc2-40d7-b867-495d7f2806c9}" id="{a9ca9bf3-4089-4b7f-af9e-2c3691519276}" done="0">
    <x18tc:text xml:space="preserve">150.000 Maxi</x18tc:text>
  </x18tc:threadedComment>
  <x18tc:threadedComment ref="D13" dT="2026-08-06T19:48:13.00" personId="{179de1a7-cfc2-40d7-b867-495d7f2806c9}" id="{015f7b8b-1954-40f3-aedc-2afa42bdf44e}" done="0">
    <x18tc:text xml:space="preserve">50.000 charlie</x18tc:text>
  </x18tc:threadedComment>
  <x18tc:threadedComment ref="E92" dT="2026-08-06T19:50:10.00" personId="{179de1a7-cfc2-40d7-b867-495d7f2806c9}" id="{0f00c03d-0f10-49ba-8d40-00d8f88a120d}" done="0">
    <x18tc:text xml:space="preserve">100.000 german</x18tc:text>
  </x18tc:threadedComment>
  <x18tc:threadedComment ref="L13" dT="2026-08-13T14:51:57.00" personId="{179de1a7-cfc2-40d7-b867-495d7f2806c9}" id="{482d6012-5a42-4ee7-bff7-caf7817d417a}" done="0">
    <x18tc:text xml:space="preserve">50.000 charlie</x18tc:text>
  </x18tc:threadedComment>
  <x18tc:threadedComment ref="E13" dT="2026-08-06T19:49:44.00" personId="{179de1a7-cfc2-40d7-b867-495d7f2806c9}" id="{09810a7d-370b-49bd-9654-4026f5b7037e}" done="0">
    <x18tc:text xml:space="preserve">100.000 charlie</x18tc:text>
  </x18tc:threadedComment>
  <x18tc:threadedComment ref="N13" dT="2026-08-13T14:58:34.00" personId="{179de1a7-cfc2-40d7-b867-495d7f2806c9}" id="{357cc23b-2ab4-4f81-9fa2-cb06f115e605}" done="0">
    <x18tc:text xml:space="preserve">340.000 Charlie</x18tc:text>
  </x18tc:threadedComment>
  <x18tc:threadedComment ref="I13" dT="2026-08-07T18:35:23.00" personId="{179de1a7-cfc2-40d7-b867-495d7f2806c9}" id="{28509023-45bb-4c91-97df-2668005b0fcd}" done="1">
    <x18tc:text xml:space="preserve">240.000 charlie</x18tc:text>
  </x18tc:threadedComment>
  <x18tc:threadedComment ref="J92" dT="2026-08-13T14:47:19.00" personId="{179de1a7-cfc2-40d7-b867-495d7f2806c9}" id="{0159fbf0-5ae5-426c-b3c9-2c6f360dcc9d}" done="0">
    <x18tc:text xml:space="preserve">Paula 70.000</x18tc:text>
  </x18tc:threadedComment>
  <x18tc:threadedComment ref="L13" dT="2026-08-13T14:51:29.00" personId="{179de1a7-cfc2-40d7-b867-495d7f2806c9}" id="{10acd1f2-613a-490d-8670-d395fa03d712}" done="1">
    <x18tc:text xml:space="preserve">20.000 charlie</x18tc:text>
  </x18tc:threadedComment>
  <x18tc:threadedComment ref="K13" dT="2026-08-13T14:49:18.00" personId="{179de1a7-cfc2-40d7-b867-495d7f2806c9}" id="{4593af8e-f968-4d94-960b-1cf765799893}" done="0">
    <x18tc:text xml:space="preserve">20.000 Charlie</x18tc:text>
  </x18tc:threadedComment>
  <x18tc:threadedComment ref="J13" dT="2026-08-13T14:44:57.00" personId="{179de1a7-cfc2-40d7-b867-495d7f2806c9}" id="{c1f4ca04-1ee4-4bef-b1f6-18cb0d70842e}" done="1">
    <x18tc:text xml:space="preserve">Charlie</x18tc:text>
  </x18tc:threadedComment>
  <x18tc:threadedComment ref="J13" dT="2026-08-13T14:46:09.00" personId="{179de1a7-cfc2-40d7-b867-495d7f2806c9}" id="{e89d113d-a3e1-4da2-b216-a966310ea3d4}" done="0">
    <x18tc:text xml:space="preserve">50.000 charlie</x18tc:text>
  </x18tc:threadedComment>
  <x18tc:threadedComment ref="G13" dT="2026-08-07T18:27:55.00" personId="{179de1a7-cfc2-40d7-b867-495d7f2806c9}" id="{f9ab33df-308a-43b4-829b-7ce405998ea3}" done="0">
    <x18tc:text xml:space="preserve">100.000 charlie</x18tc:text>
  </x18tc:threadedComment>
  <x18tc:threadedComment ref="H13" dT="2026-08-07T18:29:47.00" personId="{179de1a7-cfc2-40d7-b867-495d7f2806c9}" id="{10ec305e-3756-4cfc-a68e-67cb2a5e9f10}" done="0">
    <x18tc:text xml:space="preserve">129900 charlie</x18tc:text>
  </x18tc:threadedComment>
  <x18tc:threadedComment ref="I13" dT="2026-08-13T14:41:40.00" personId="{179de1a7-cfc2-40d7-b867-495d7f2806c9}" id="{2c08b02e-0606-4f00-bca0-bfc06a71e31d}" done="0">
    <x18tc:text xml:space="preserve">290.000 charlie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63"/>
  </cols>
  <sheetData>
    <row r="1">
      <c r="A1" s="2" t="s">
        <v>0</v>
      </c>
      <c r="B1" s="3"/>
      <c r="C1" s="5">
        <v>45992.0</v>
      </c>
      <c r="D1" s="5">
        <v>45871.0</v>
      </c>
      <c r="E1" s="5">
        <v>45872.0</v>
      </c>
      <c r="F1" s="5">
        <v>45873.0</v>
      </c>
      <c r="G1" s="5">
        <v>45874.0</v>
      </c>
      <c r="H1" s="5">
        <v>45875.0</v>
      </c>
      <c r="I1" s="5">
        <v>45876.0</v>
      </c>
      <c r="J1" s="5">
        <v>45877.0</v>
      </c>
      <c r="K1" s="5">
        <v>45878.0</v>
      </c>
      <c r="L1" s="5">
        <v>45879.0</v>
      </c>
      <c r="M1" s="5">
        <v>45880.0</v>
      </c>
      <c r="N1" s="5">
        <v>45881.0</v>
      </c>
      <c r="O1" s="5">
        <v>45882.0</v>
      </c>
      <c r="P1" s="5">
        <v>45883.0</v>
      </c>
      <c r="Q1" s="5">
        <v>45884.0</v>
      </c>
      <c r="R1" s="5">
        <v>45885.0</v>
      </c>
      <c r="S1" s="5">
        <v>45886.0</v>
      </c>
      <c r="T1" s="5">
        <v>45887.0</v>
      </c>
      <c r="U1" s="5">
        <v>45888.0</v>
      </c>
      <c r="V1" s="5">
        <v>45889.0</v>
      </c>
      <c r="W1" s="5">
        <v>45890.0</v>
      </c>
      <c r="X1" s="5">
        <v>45891.0</v>
      </c>
      <c r="Y1" s="5">
        <v>45892.0</v>
      </c>
      <c r="Z1" s="5">
        <v>45893.0</v>
      </c>
      <c r="AA1" s="5">
        <v>45894.0</v>
      </c>
      <c r="AB1" s="5">
        <v>45895.0</v>
      </c>
      <c r="AC1" s="5">
        <v>45896.0</v>
      </c>
      <c r="AD1" s="5">
        <v>45897.0</v>
      </c>
      <c r="AE1" s="5">
        <v>45898.0</v>
      </c>
      <c r="AF1" s="5">
        <v>45899.0</v>
      </c>
      <c r="AG1" s="5">
        <v>45900.0</v>
      </c>
      <c r="AH1" s="6" t="s">
        <v>1</v>
      </c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7"/>
      <c r="AH2" s="7"/>
    </row>
    <row r="3">
      <c r="A3" s="7"/>
      <c r="B3" s="8"/>
      <c r="C3" s="10"/>
      <c r="D3" s="10"/>
      <c r="E3" s="10"/>
      <c r="F3" s="10"/>
      <c r="G3" s="10"/>
      <c r="H3" s="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11" t="s">
        <v>2</v>
      </c>
      <c r="B4" s="12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16" t="s">
        <v>3</v>
      </c>
      <c r="B5" s="8"/>
      <c r="C5" s="17">
        <f>338308+252796+1158748</f>
        <v>1749852</v>
      </c>
      <c r="D5" s="17">
        <f>85094</f>
        <v>85094</v>
      </c>
      <c r="E5" s="17">
        <f>916940+66163+409746+62276</f>
        <v>1455125</v>
      </c>
      <c r="F5" s="17">
        <f>165710+665914+1146843+66462</f>
        <v>2044929</v>
      </c>
      <c r="G5" s="17">
        <v>1241627</v>
      </c>
      <c r="H5" s="17">
        <f>328154+28299+22320</f>
        <v>378773</v>
      </c>
      <c r="I5" s="17">
        <f>42064+731212+610411+25807</f>
        <v>1409494</v>
      </c>
      <c r="J5" s="17">
        <f>929067+562920+20526</f>
        <v>1512513</v>
      </c>
      <c r="K5" s="17">
        <f>761874+492440+12575+18335</f>
        <v>1285224</v>
      </c>
      <c r="L5" s="17">
        <f>590744+1150349+82663+6500+28700</f>
        <v>1858956</v>
      </c>
      <c r="M5" s="17">
        <f>164012+2005743+34456+541161</f>
        <v>2745372</v>
      </c>
      <c r="N5" s="17">
        <f>18633+308395+1111972</f>
        <v>1439000</v>
      </c>
      <c r="O5" s="17">
        <f>232286+45936</f>
        <v>278222</v>
      </c>
      <c r="P5" s="17">
        <f>18135+971916+62673+532669</f>
        <v>1585393</v>
      </c>
      <c r="Q5" s="17">
        <f>385159+603857+33805</f>
        <v>1022821</v>
      </c>
      <c r="R5" s="17">
        <f>833270+548534+9906+11693</f>
        <v>1403403</v>
      </c>
      <c r="S5" s="17">
        <f>92071+1216512+611996+38064</f>
        <v>1958643</v>
      </c>
      <c r="T5" s="17">
        <f>1710791+113993+444009+139202+21483</f>
        <v>2429478</v>
      </c>
      <c r="U5" s="17">
        <f>1301009+347355</f>
        <v>1648364</v>
      </c>
      <c r="V5" s="17">
        <f>294445+37402+90642</f>
        <v>422489</v>
      </c>
      <c r="W5" s="17">
        <f>98537+895436+564681+24594</f>
        <v>1583248</v>
      </c>
      <c r="X5" s="17">
        <f>110105+22250+1105+837440+524121</f>
        <v>1495021</v>
      </c>
      <c r="Y5" s="17">
        <f>99841+415619+4270+133323+13920</f>
        <v>666973</v>
      </c>
      <c r="Z5" s="17">
        <f>40226+43245+606190+33979+585213</f>
        <v>1308853</v>
      </c>
      <c r="AA5" s="17">
        <f>133521+125252+34476+1296338+513560</f>
        <v>2103147</v>
      </c>
      <c r="AB5" s="17">
        <f>264553+912968</f>
        <v>1177521</v>
      </c>
      <c r="AC5" s="17">
        <f>132560+122866</f>
        <v>255426</v>
      </c>
      <c r="AD5" s="17">
        <f>689243+673607+39659+57992</f>
        <v>1460501</v>
      </c>
      <c r="AE5" s="17">
        <f>612490+406077+30073+48348+135414</f>
        <v>1232402</v>
      </c>
      <c r="AF5" s="17">
        <f>526085+883898+78917</f>
        <v>1488900</v>
      </c>
      <c r="AG5" s="17">
        <f>1035920+102124+597956+86411+129436+32186</f>
        <v>1984033</v>
      </c>
      <c r="AH5" s="19">
        <f t="shared" ref="AH5:AH8" si="1">SUM(C5:AG5)</f>
        <v>42710797</v>
      </c>
    </row>
    <row r="6">
      <c r="A6" s="16" t="s">
        <v>4</v>
      </c>
      <c r="B6" s="8"/>
      <c r="C6" s="20">
        <v>0.0</v>
      </c>
      <c r="D6" s="17">
        <v>28400.0</v>
      </c>
      <c r="E6" s="17">
        <f>35090+6200</f>
        <v>41290</v>
      </c>
      <c r="F6" s="17">
        <v>0.0</v>
      </c>
      <c r="G6" s="17">
        <v>29600.0</v>
      </c>
      <c r="H6" s="17">
        <f>8200+30400</f>
        <v>38600</v>
      </c>
      <c r="I6" s="20">
        <v>0.0</v>
      </c>
      <c r="J6" s="20">
        <v>0.0</v>
      </c>
      <c r="K6" s="20">
        <v>0.0</v>
      </c>
      <c r="L6" s="20">
        <v>0.0</v>
      </c>
      <c r="M6" s="20">
        <v>0.0</v>
      </c>
      <c r="N6" s="17">
        <v>25990.0</v>
      </c>
      <c r="O6" s="20">
        <v>0.0</v>
      </c>
      <c r="P6" s="20">
        <v>0.0</v>
      </c>
      <c r="Q6" s="17">
        <v>0.0</v>
      </c>
      <c r="R6" s="20">
        <v>0.0</v>
      </c>
      <c r="S6" s="20">
        <v>0.0</v>
      </c>
      <c r="T6" s="20">
        <v>0.0</v>
      </c>
      <c r="U6" s="17">
        <v>0.0</v>
      </c>
      <c r="V6" s="20">
        <v>0.0</v>
      </c>
      <c r="W6" s="17">
        <v>0.0</v>
      </c>
      <c r="X6" s="17">
        <v>0.0</v>
      </c>
      <c r="Y6" s="17">
        <v>30500.0</v>
      </c>
      <c r="Z6" s="17">
        <v>0.0</v>
      </c>
      <c r="AA6" s="17">
        <v>0.0</v>
      </c>
      <c r="AB6" s="17">
        <v>0.0</v>
      </c>
      <c r="AC6" s="17">
        <v>25690.0</v>
      </c>
      <c r="AD6" s="17">
        <v>0.0</v>
      </c>
      <c r="AE6" s="17">
        <v>0.0</v>
      </c>
      <c r="AF6" s="17">
        <v>0.0</v>
      </c>
      <c r="AG6" s="17">
        <v>0.0</v>
      </c>
      <c r="AH6" s="19">
        <f t="shared" si="1"/>
        <v>220070</v>
      </c>
    </row>
    <row r="7">
      <c r="A7" s="16" t="s">
        <v>5</v>
      </c>
      <c r="B7" s="8"/>
      <c r="C7" s="20">
        <v>0.0</v>
      </c>
      <c r="D7" s="17">
        <v>0.0</v>
      </c>
      <c r="E7" s="20">
        <v>0.0</v>
      </c>
      <c r="F7" s="20">
        <v>0.0</v>
      </c>
      <c r="G7" s="20">
        <v>0.0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17">
        <v>380000.0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  <c r="V7" s="20">
        <v>0.0</v>
      </c>
      <c r="W7" s="17">
        <v>0.0</v>
      </c>
      <c r="X7" s="17">
        <v>0.0</v>
      </c>
      <c r="Y7" s="17">
        <v>0.0</v>
      </c>
      <c r="Z7" s="17">
        <v>0.0</v>
      </c>
      <c r="AA7" s="17">
        <v>0.0</v>
      </c>
      <c r="AB7" s="17">
        <v>0.0</v>
      </c>
      <c r="AC7" s="17">
        <v>0.0</v>
      </c>
      <c r="AD7" s="17">
        <v>0.0</v>
      </c>
      <c r="AE7" s="17">
        <v>0.0</v>
      </c>
      <c r="AF7" s="17">
        <v>0.0</v>
      </c>
      <c r="AG7" s="17">
        <v>0.0</v>
      </c>
      <c r="AH7" s="19">
        <f t="shared" si="1"/>
        <v>380000</v>
      </c>
    </row>
    <row r="8">
      <c r="A8" s="16" t="s">
        <v>6</v>
      </c>
      <c r="B8" s="8"/>
      <c r="C8" s="20">
        <v>0.0</v>
      </c>
      <c r="D8" s="17">
        <v>0.0</v>
      </c>
      <c r="E8" s="20">
        <v>0.0</v>
      </c>
      <c r="F8" s="20">
        <v>0.0</v>
      </c>
      <c r="G8" s="20">
        <v>0.0</v>
      </c>
      <c r="H8" s="20">
        <f>481480+464285</f>
        <v>945765</v>
      </c>
      <c r="I8" s="20">
        <v>0.0</v>
      </c>
      <c r="J8" s="20">
        <v>0.0</v>
      </c>
      <c r="K8" s="17">
        <v>0.0</v>
      </c>
      <c r="L8" s="20">
        <v>0.0</v>
      </c>
      <c r="M8" s="20">
        <v>0.0</v>
      </c>
      <c r="N8" s="20">
        <v>0.0</v>
      </c>
      <c r="O8" s="20">
        <f>481617+103191</f>
        <v>584808</v>
      </c>
      <c r="P8" s="20">
        <v>0.0</v>
      </c>
      <c r="Q8" s="20">
        <v>0.0</v>
      </c>
      <c r="R8" s="17">
        <v>0.0</v>
      </c>
      <c r="S8" s="20">
        <v>0.0</v>
      </c>
      <c r="T8" s="20">
        <v>0.0</v>
      </c>
      <c r="U8" s="20">
        <v>0.0</v>
      </c>
      <c r="V8" s="17">
        <v>321048.0</v>
      </c>
      <c r="W8" s="17">
        <v>0.0</v>
      </c>
      <c r="X8" s="17">
        <v>0.0</v>
      </c>
      <c r="Y8" s="17">
        <v>0.0</v>
      </c>
      <c r="Z8" s="17">
        <v>0.0</v>
      </c>
      <c r="AA8" s="17">
        <v>0.0</v>
      </c>
      <c r="AB8" s="17">
        <v>0.0</v>
      </c>
      <c r="AC8" s="17">
        <f>168900+366611</f>
        <v>535511</v>
      </c>
      <c r="AD8" s="17">
        <v>0.0</v>
      </c>
      <c r="AE8" s="17">
        <v>0.0</v>
      </c>
      <c r="AF8" s="17">
        <v>0.0</v>
      </c>
      <c r="AG8" s="17">
        <v>0.0</v>
      </c>
      <c r="AH8" s="19">
        <f t="shared" si="1"/>
        <v>2387132</v>
      </c>
    </row>
    <row r="9">
      <c r="A9" s="21" t="s">
        <v>7</v>
      </c>
      <c r="B9" s="8"/>
      <c r="C9" s="22">
        <f t="shared" ref="C9:AH9" si="2">SUM(C5:C8)</f>
        <v>1749852</v>
      </c>
      <c r="D9" s="22">
        <f t="shared" si="2"/>
        <v>113494</v>
      </c>
      <c r="E9" s="22">
        <f t="shared" si="2"/>
        <v>1496415</v>
      </c>
      <c r="F9" s="22">
        <f t="shared" si="2"/>
        <v>2044929</v>
      </c>
      <c r="G9" s="22">
        <f t="shared" si="2"/>
        <v>1271227</v>
      </c>
      <c r="H9" s="22">
        <f t="shared" si="2"/>
        <v>1363138</v>
      </c>
      <c r="I9" s="22">
        <f t="shared" si="2"/>
        <v>1409494</v>
      </c>
      <c r="J9" s="22">
        <f t="shared" si="2"/>
        <v>1512513</v>
      </c>
      <c r="K9" s="22">
        <f t="shared" si="2"/>
        <v>1285224</v>
      </c>
      <c r="L9" s="22">
        <f t="shared" si="2"/>
        <v>1858956</v>
      </c>
      <c r="M9" s="22">
        <f t="shared" si="2"/>
        <v>2745372</v>
      </c>
      <c r="N9" s="22">
        <f t="shared" si="2"/>
        <v>1464990</v>
      </c>
      <c r="O9" s="22">
        <f t="shared" si="2"/>
        <v>1243030</v>
      </c>
      <c r="P9" s="22">
        <f t="shared" si="2"/>
        <v>1585393</v>
      </c>
      <c r="Q9" s="22">
        <f t="shared" si="2"/>
        <v>1022821</v>
      </c>
      <c r="R9" s="22">
        <f t="shared" si="2"/>
        <v>1403403</v>
      </c>
      <c r="S9" s="22">
        <f t="shared" si="2"/>
        <v>1958643</v>
      </c>
      <c r="T9" s="22">
        <f t="shared" si="2"/>
        <v>2429478</v>
      </c>
      <c r="U9" s="22">
        <f t="shared" si="2"/>
        <v>1648364</v>
      </c>
      <c r="V9" s="22">
        <f t="shared" si="2"/>
        <v>743537</v>
      </c>
      <c r="W9" s="22">
        <f t="shared" si="2"/>
        <v>1583248</v>
      </c>
      <c r="X9" s="22">
        <f t="shared" si="2"/>
        <v>1495021</v>
      </c>
      <c r="Y9" s="22">
        <f t="shared" si="2"/>
        <v>697473</v>
      </c>
      <c r="Z9" s="22">
        <f t="shared" si="2"/>
        <v>1308853</v>
      </c>
      <c r="AA9" s="22">
        <f t="shared" si="2"/>
        <v>2103147</v>
      </c>
      <c r="AB9" s="22">
        <f t="shared" si="2"/>
        <v>1177521</v>
      </c>
      <c r="AC9" s="22">
        <f t="shared" si="2"/>
        <v>816627</v>
      </c>
      <c r="AD9" s="22">
        <f t="shared" si="2"/>
        <v>1460501</v>
      </c>
      <c r="AE9" s="22">
        <f t="shared" si="2"/>
        <v>1232402</v>
      </c>
      <c r="AF9" s="22">
        <f t="shared" si="2"/>
        <v>1488900</v>
      </c>
      <c r="AG9" s="22">
        <f t="shared" si="2"/>
        <v>1984033</v>
      </c>
      <c r="AH9" s="19">
        <f t="shared" si="2"/>
        <v>45697999</v>
      </c>
    </row>
    <row r="10">
      <c r="A10" s="21" t="s">
        <v>8</v>
      </c>
      <c r="B10" s="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9">
        <f>AH9-AH78</f>
        <v>39294269</v>
      </c>
    </row>
    <row r="11">
      <c r="A11" s="7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7"/>
      <c r="AC11" s="10"/>
      <c r="AD11" s="10"/>
      <c r="AE11" s="10"/>
      <c r="AF11" s="10"/>
      <c r="AG11" s="7"/>
      <c r="AH11" s="10"/>
    </row>
    <row r="12">
      <c r="A12" s="23" t="s">
        <v>9</v>
      </c>
      <c r="B12" s="24">
        <f t="shared" ref="B12:B29" si="5">AH12/$AH$10</f>
        <v>0.3144274551</v>
      </c>
      <c r="C12" s="25">
        <f t="shared" ref="C12:F12" si="3">sum(C13:C29)</f>
        <v>0</v>
      </c>
      <c r="D12" s="25">
        <f t="shared" si="3"/>
        <v>1438566</v>
      </c>
      <c r="E12" s="25">
        <f t="shared" si="3"/>
        <v>69320</v>
      </c>
      <c r="F12" s="25">
        <f t="shared" si="3"/>
        <v>76500</v>
      </c>
      <c r="G12" s="25">
        <f>sum(G14:G29)</f>
        <v>871050</v>
      </c>
      <c r="H12" s="25">
        <f t="shared" ref="H12:AH12" si="4">sum(H13:H29)</f>
        <v>1042424</v>
      </c>
      <c r="I12" s="25">
        <f t="shared" si="4"/>
        <v>257328</v>
      </c>
      <c r="J12" s="25">
        <f t="shared" si="4"/>
        <v>102887</v>
      </c>
      <c r="K12" s="25">
        <f t="shared" si="4"/>
        <v>397169</v>
      </c>
      <c r="L12" s="25">
        <f t="shared" si="4"/>
        <v>99976</v>
      </c>
      <c r="M12" s="25">
        <f t="shared" si="4"/>
        <v>72460</v>
      </c>
      <c r="N12" s="25">
        <f t="shared" si="4"/>
        <v>859478</v>
      </c>
      <c r="O12" s="25">
        <f t="shared" si="4"/>
        <v>1052873</v>
      </c>
      <c r="P12" s="25">
        <f t="shared" si="4"/>
        <v>373749</v>
      </c>
      <c r="Q12" s="25">
        <f t="shared" si="4"/>
        <v>0</v>
      </c>
      <c r="R12" s="25">
        <f t="shared" si="4"/>
        <v>72036</v>
      </c>
      <c r="S12" s="25">
        <f t="shared" si="4"/>
        <v>21300</v>
      </c>
      <c r="T12" s="25">
        <f t="shared" si="4"/>
        <v>0</v>
      </c>
      <c r="U12" s="25">
        <f t="shared" si="4"/>
        <v>569478</v>
      </c>
      <c r="V12" s="25">
        <f t="shared" si="4"/>
        <v>1214914</v>
      </c>
      <c r="W12" s="25">
        <f t="shared" si="4"/>
        <v>598644</v>
      </c>
      <c r="X12" s="25">
        <f t="shared" si="4"/>
        <v>89997</v>
      </c>
      <c r="Y12" s="25">
        <f t="shared" si="4"/>
        <v>211648</v>
      </c>
      <c r="Z12" s="25">
        <f t="shared" si="4"/>
        <v>684308</v>
      </c>
      <c r="AA12" s="25">
        <f t="shared" si="4"/>
        <v>0</v>
      </c>
      <c r="AB12" s="25">
        <f t="shared" si="4"/>
        <v>12570</v>
      </c>
      <c r="AC12" s="25">
        <f t="shared" si="4"/>
        <v>1380800</v>
      </c>
      <c r="AD12" s="25">
        <f t="shared" si="4"/>
        <v>180880</v>
      </c>
      <c r="AE12" s="25">
        <f t="shared" si="4"/>
        <v>312098</v>
      </c>
      <c r="AF12" s="25">
        <f t="shared" si="4"/>
        <v>292744</v>
      </c>
      <c r="AG12" s="25">
        <f t="shared" si="4"/>
        <v>0</v>
      </c>
      <c r="AH12" s="26">
        <f t="shared" si="4"/>
        <v>12355197</v>
      </c>
    </row>
    <row r="13">
      <c r="A13" s="16" t="s">
        <v>10</v>
      </c>
      <c r="B13" s="27">
        <f t="shared" si="5"/>
        <v>0.03069628296</v>
      </c>
      <c r="C13" s="20">
        <v>0.0</v>
      </c>
      <c r="D13" s="17">
        <f>116000+58240+7200+11600</f>
        <v>193040</v>
      </c>
      <c r="E13" s="17">
        <v>69320.0</v>
      </c>
      <c r="F13" s="17">
        <v>0.0</v>
      </c>
      <c r="G13" s="20">
        <v>0.0</v>
      </c>
      <c r="H13" s="17">
        <f>12990</f>
        <v>12990</v>
      </c>
      <c r="I13" s="17">
        <v>6000.0</v>
      </c>
      <c r="J13" s="17">
        <v>0.0</v>
      </c>
      <c r="K13" s="17">
        <v>0.0</v>
      </c>
      <c r="L13" s="17">
        <f>90026+9950</f>
        <v>99976</v>
      </c>
      <c r="M13" s="17">
        <v>48480.0</v>
      </c>
      <c r="N13" s="17">
        <v>4500.0</v>
      </c>
      <c r="O13" s="20">
        <v>0.0</v>
      </c>
      <c r="P13" s="20">
        <v>0.0</v>
      </c>
      <c r="Q13" s="20">
        <v>0.0</v>
      </c>
      <c r="R13" s="20">
        <v>0.0</v>
      </c>
      <c r="S13" s="17">
        <v>21300.0</v>
      </c>
      <c r="T13" s="20">
        <v>0.0</v>
      </c>
      <c r="U13" s="20">
        <v>0.0</v>
      </c>
      <c r="V13" s="17">
        <f>77350+44300</f>
        <v>121650</v>
      </c>
      <c r="W13" s="17">
        <f>153986+49980</f>
        <v>203966</v>
      </c>
      <c r="X13" s="17">
        <v>0.0</v>
      </c>
      <c r="Y13" s="17">
        <f>52230</f>
        <v>52230</v>
      </c>
      <c r="Z13" s="17">
        <f>152897+13000</f>
        <v>165897</v>
      </c>
      <c r="AA13" s="17">
        <v>0.0</v>
      </c>
      <c r="AB13" s="17">
        <v>0.0</v>
      </c>
      <c r="AC13" s="17">
        <f>99008+3831</f>
        <v>102839</v>
      </c>
      <c r="AD13" s="17">
        <v>0.0</v>
      </c>
      <c r="AE13" s="20">
        <f>94000</f>
        <v>94000</v>
      </c>
      <c r="AF13" s="17">
        <v>10000.0</v>
      </c>
      <c r="AG13" s="17">
        <v>0.0</v>
      </c>
      <c r="AH13" s="19">
        <f t="shared" ref="AH13:AH29" si="6">SUM(C13:AG13)</f>
        <v>1206188</v>
      </c>
    </row>
    <row r="14">
      <c r="A14" s="16" t="s">
        <v>13</v>
      </c>
      <c r="B14" s="27">
        <f t="shared" si="5"/>
        <v>0.06852055194</v>
      </c>
      <c r="C14" s="20">
        <v>0.0</v>
      </c>
      <c r="D14" s="20">
        <v>0.0</v>
      </c>
      <c r="E14" s="20">
        <v>0.0</v>
      </c>
      <c r="F14" s="20">
        <v>0.0</v>
      </c>
      <c r="G14" s="17">
        <v>736104.0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17">
        <v>324858.0</v>
      </c>
      <c r="O14" s="20">
        <v>0.0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17">
        <v>561478.0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0">
        <v>0.0</v>
      </c>
      <c r="AB14" s="20">
        <v>0.0</v>
      </c>
      <c r="AC14" s="17">
        <v>1070025.0</v>
      </c>
      <c r="AD14" s="20">
        <v>0.0</v>
      </c>
      <c r="AE14" s="20">
        <v>0.0</v>
      </c>
      <c r="AF14" s="20">
        <v>0.0</v>
      </c>
      <c r="AG14" s="20">
        <v>0.0</v>
      </c>
      <c r="AH14" s="19">
        <f t="shared" si="6"/>
        <v>2692465</v>
      </c>
    </row>
    <row r="15">
      <c r="A15" s="28" t="s">
        <v>14</v>
      </c>
      <c r="B15" s="27">
        <f t="shared" si="5"/>
        <v>0.003918790295</v>
      </c>
      <c r="C15" s="20">
        <v>0.0</v>
      </c>
      <c r="D15" s="17">
        <v>153986.0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  <c r="O15" s="20">
        <v>0.0</v>
      </c>
      <c r="P15" s="20">
        <v>0.0</v>
      </c>
      <c r="Q15" s="20">
        <v>0.0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0.0</v>
      </c>
      <c r="Y15" s="20">
        <v>0.0</v>
      </c>
      <c r="Z15" s="20">
        <v>0.0</v>
      </c>
      <c r="AA15" s="20">
        <v>0.0</v>
      </c>
      <c r="AB15" s="20">
        <v>0.0</v>
      </c>
      <c r="AC15" s="20">
        <v>0.0</v>
      </c>
      <c r="AD15" s="20">
        <v>0.0</v>
      </c>
      <c r="AE15" s="20">
        <v>0.0</v>
      </c>
      <c r="AF15" s="20">
        <v>0.0</v>
      </c>
      <c r="AG15" s="20">
        <v>0.0</v>
      </c>
      <c r="AH15" s="19">
        <f t="shared" si="6"/>
        <v>153986</v>
      </c>
    </row>
    <row r="16">
      <c r="A16" s="28" t="s">
        <v>15</v>
      </c>
      <c r="B16" s="27">
        <f t="shared" si="5"/>
        <v>0.04519631094</v>
      </c>
      <c r="C16" s="20">
        <v>0.0</v>
      </c>
      <c r="D16" s="17">
        <v>830025.0</v>
      </c>
      <c r="E16" s="20">
        <v>0.0</v>
      </c>
      <c r="F16" s="17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17">
        <v>521220.0</v>
      </c>
      <c r="O16" s="20">
        <v>0.0</v>
      </c>
      <c r="P16" s="20">
        <v>0.0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17">
        <v>424711.0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20">
        <v>0.0</v>
      </c>
      <c r="AG16" s="20">
        <v>0.0</v>
      </c>
      <c r="AH16" s="19">
        <f t="shared" si="6"/>
        <v>1775956</v>
      </c>
    </row>
    <row r="17">
      <c r="A17" s="30" t="s">
        <v>19</v>
      </c>
      <c r="B17" s="27">
        <f t="shared" si="5"/>
        <v>0.06052243904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17">
        <v>827125.0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17">
        <v>759110.0</v>
      </c>
      <c r="P17" s="20">
        <v>0.0</v>
      </c>
      <c r="Q17" s="20">
        <v>0.0</v>
      </c>
      <c r="R17" s="20">
        <v>0.0</v>
      </c>
      <c r="S17" s="20">
        <v>0.0</v>
      </c>
      <c r="T17" s="20">
        <v>0.0</v>
      </c>
      <c r="U17" s="20">
        <v>0.0</v>
      </c>
      <c r="V17" s="17">
        <v>791950.0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0.0</v>
      </c>
      <c r="AD17" s="20">
        <v>0.0</v>
      </c>
      <c r="AE17" s="20">
        <v>0.0</v>
      </c>
      <c r="AF17" s="20">
        <v>0.0</v>
      </c>
      <c r="AG17" s="20">
        <v>0.0</v>
      </c>
      <c r="AH17" s="19">
        <f t="shared" si="6"/>
        <v>2378185</v>
      </c>
    </row>
    <row r="18">
      <c r="A18" s="16" t="s">
        <v>21</v>
      </c>
      <c r="B18" s="27">
        <f t="shared" si="5"/>
        <v>0.01841286321</v>
      </c>
      <c r="C18" s="20">
        <v>0.0</v>
      </c>
      <c r="D18" s="20">
        <v>0.0</v>
      </c>
      <c r="E18" s="20">
        <v>0.0</v>
      </c>
      <c r="F18" s="17">
        <v>76500.0</v>
      </c>
      <c r="G18" s="20">
        <v>0.0</v>
      </c>
      <c r="H18" s="20">
        <v>0.0</v>
      </c>
      <c r="I18" s="20">
        <v>0.0</v>
      </c>
      <c r="J18" s="20">
        <v>0.0</v>
      </c>
      <c r="K18" s="17">
        <v>206720.0</v>
      </c>
      <c r="L18" s="20">
        <v>0.0</v>
      </c>
      <c r="M18" s="20">
        <v>0.0</v>
      </c>
      <c r="N18" s="20">
        <v>0.0</v>
      </c>
      <c r="O18" s="20">
        <v>0.0</v>
      </c>
      <c r="P18" s="17">
        <v>159460.0</v>
      </c>
      <c r="Q18" s="20">
        <v>0.0</v>
      </c>
      <c r="R18" s="20">
        <v>0.0</v>
      </c>
      <c r="S18" s="20">
        <v>0.0</v>
      </c>
      <c r="T18" s="20">
        <v>0.0</v>
      </c>
      <c r="U18" s="20">
        <v>0.0</v>
      </c>
      <c r="V18" s="20">
        <v>0.0</v>
      </c>
      <c r="W18" s="17">
        <v>159460.0</v>
      </c>
      <c r="X18" s="20">
        <v>0.0</v>
      </c>
      <c r="Y18" s="20">
        <v>0.0</v>
      </c>
      <c r="Z18" s="20">
        <v>0.0</v>
      </c>
      <c r="AA18" s="20">
        <v>0.0</v>
      </c>
      <c r="AB18" s="20">
        <v>0.0</v>
      </c>
      <c r="AC18" s="17">
        <v>121380.0</v>
      </c>
      <c r="AD18" s="20">
        <v>0.0</v>
      </c>
      <c r="AE18" s="20">
        <v>0.0</v>
      </c>
      <c r="AF18" s="20">
        <v>0.0</v>
      </c>
      <c r="AG18" s="20">
        <v>0.0</v>
      </c>
      <c r="AH18" s="19">
        <f t="shared" si="6"/>
        <v>723520</v>
      </c>
    </row>
    <row r="19">
      <c r="A19" s="16" t="s">
        <v>20</v>
      </c>
      <c r="B19" s="27">
        <f t="shared" si="5"/>
        <v>0.009468683588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17">
        <v>191185.0</v>
      </c>
      <c r="P19" s="20">
        <v>0.0</v>
      </c>
      <c r="Q19" s="20">
        <v>0.0</v>
      </c>
      <c r="R19" s="20">
        <v>0.0</v>
      </c>
      <c r="S19" s="20">
        <v>0.0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20">
        <v>0.0</v>
      </c>
      <c r="AD19" s="17">
        <v>180880.0</v>
      </c>
      <c r="AE19" s="20">
        <v>0.0</v>
      </c>
      <c r="AF19" s="20">
        <v>0.0</v>
      </c>
      <c r="AG19" s="20">
        <v>0.0</v>
      </c>
      <c r="AH19" s="19">
        <f t="shared" si="6"/>
        <v>372065</v>
      </c>
    </row>
    <row r="20">
      <c r="A20" s="16" t="s">
        <v>22</v>
      </c>
      <c r="B20" s="27">
        <f t="shared" si="5"/>
        <v>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0.0</v>
      </c>
      <c r="U20" s="20">
        <v>0.0</v>
      </c>
      <c r="V20" s="20">
        <v>0.0</v>
      </c>
      <c r="W20" s="20">
        <v>0.0</v>
      </c>
      <c r="X20" s="20">
        <v>0.0</v>
      </c>
      <c r="Y20" s="20">
        <v>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20">
        <v>0.0</v>
      </c>
      <c r="AF20" s="20">
        <v>0.0</v>
      </c>
      <c r="AG20" s="20">
        <v>0.0</v>
      </c>
      <c r="AH20" s="19">
        <f t="shared" si="6"/>
        <v>0</v>
      </c>
    </row>
    <row r="21">
      <c r="A21" s="16" t="s">
        <v>23</v>
      </c>
      <c r="B21" s="27">
        <f t="shared" si="5"/>
        <v>0.006044749172</v>
      </c>
      <c r="C21" s="20">
        <v>0.0</v>
      </c>
      <c r="D21" s="20">
        <v>0.0</v>
      </c>
      <c r="E21" s="20">
        <v>0.0</v>
      </c>
      <c r="F21" s="20">
        <v>0.0</v>
      </c>
      <c r="G21" s="17">
        <v>134946.0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17">
        <v>102578.0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0.0</v>
      </c>
      <c r="V21" s="20">
        <v>0.0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  <c r="AH21" s="19">
        <f t="shared" si="6"/>
        <v>237524</v>
      </c>
    </row>
    <row r="22">
      <c r="A22" s="16" t="s">
        <v>24</v>
      </c>
      <c r="B22" s="27">
        <f t="shared" si="5"/>
        <v>0.005676705679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17">
        <f>23205+2200</f>
        <v>25405</v>
      </c>
      <c r="I22" s="20">
        <v>0.0</v>
      </c>
      <c r="J22" s="20">
        <v>0.0</v>
      </c>
      <c r="K22" s="20">
        <v>0.0</v>
      </c>
      <c r="L22" s="20">
        <v>0.0</v>
      </c>
      <c r="M22" s="17">
        <v>19480.0</v>
      </c>
      <c r="N22" s="20">
        <v>0.0</v>
      </c>
      <c r="O22" s="20">
        <v>0.0</v>
      </c>
      <c r="P22" s="17">
        <v>46410.0</v>
      </c>
      <c r="Q22" s="20">
        <v>0.0</v>
      </c>
      <c r="R22" s="20">
        <v>0.0</v>
      </c>
      <c r="S22" s="20">
        <v>0.0</v>
      </c>
      <c r="T22" s="20">
        <v>0.0</v>
      </c>
      <c r="U22" s="20">
        <v>0.0</v>
      </c>
      <c r="V22" s="17">
        <v>23205.0</v>
      </c>
      <c r="W22" s="20">
        <v>0.0</v>
      </c>
      <c r="X22" s="20">
        <v>0.0</v>
      </c>
      <c r="Y22" s="17">
        <f>61152+46410</f>
        <v>107562</v>
      </c>
      <c r="Z22" s="20">
        <v>0.0</v>
      </c>
      <c r="AA22" s="20">
        <v>0.0</v>
      </c>
      <c r="AB22" s="20">
        <v>0.0</v>
      </c>
      <c r="AC22" s="20">
        <v>0.0</v>
      </c>
      <c r="AD22" s="20">
        <v>0.0</v>
      </c>
      <c r="AE22" s="17">
        <v>1000.0</v>
      </c>
      <c r="AF22" s="20">
        <v>0.0</v>
      </c>
      <c r="AG22" s="20">
        <v>0.0</v>
      </c>
      <c r="AH22" s="19">
        <f t="shared" si="6"/>
        <v>223062</v>
      </c>
    </row>
    <row r="23">
      <c r="A23" s="16" t="s">
        <v>25</v>
      </c>
      <c r="B23" s="27">
        <f t="shared" si="5"/>
        <v>0.01758912986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17">
        <v>251328.0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  <c r="V23" s="17">
        <v>157080.0</v>
      </c>
      <c r="W23" s="20">
        <v>0.0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0.0</v>
      </c>
      <c r="AD23" s="20">
        <v>0.0</v>
      </c>
      <c r="AE23" s="20">
        <v>0.0</v>
      </c>
      <c r="AF23" s="17">
        <v>282744.0</v>
      </c>
      <c r="AG23" s="20">
        <v>0.0</v>
      </c>
      <c r="AH23" s="19">
        <f t="shared" si="6"/>
        <v>691152</v>
      </c>
    </row>
    <row r="24">
      <c r="A24" s="16" t="s">
        <v>26</v>
      </c>
      <c r="B24" s="27">
        <f t="shared" si="5"/>
        <v>0.009912641459</v>
      </c>
      <c r="C24" s="20">
        <v>0.0</v>
      </c>
      <c r="D24" s="17">
        <f>12000+37778</f>
        <v>49778</v>
      </c>
      <c r="E24" s="20">
        <v>0.0</v>
      </c>
      <c r="F24" s="20">
        <v>0.0</v>
      </c>
      <c r="G24" s="20">
        <v>0.0</v>
      </c>
      <c r="H24" s="17">
        <v>47187.0</v>
      </c>
      <c r="I24" s="20">
        <v>0.0</v>
      </c>
      <c r="J24" s="17">
        <v>28887.0</v>
      </c>
      <c r="K24" s="20">
        <v>0.0</v>
      </c>
      <c r="L24" s="20">
        <v>0.0</v>
      </c>
      <c r="M24" s="17">
        <v>4500.0</v>
      </c>
      <c r="N24" s="17">
        <v>8900.0</v>
      </c>
      <c r="O24" s="20">
        <v>0.0</v>
      </c>
      <c r="P24" s="20">
        <v>0.0</v>
      </c>
      <c r="Q24" s="20">
        <v>0.0</v>
      </c>
      <c r="R24" s="17">
        <v>44636.0</v>
      </c>
      <c r="S24" s="20">
        <v>0.0</v>
      </c>
      <c r="T24" s="20">
        <v>0.0</v>
      </c>
      <c r="U24" s="17">
        <v>8000.0</v>
      </c>
      <c r="V24" s="17">
        <v>39940.0</v>
      </c>
      <c r="W24" s="20">
        <v>0.0</v>
      </c>
      <c r="X24" s="20">
        <v>0.0</v>
      </c>
      <c r="Y24" s="17">
        <v>51856.0</v>
      </c>
      <c r="Z24" s="17">
        <v>6700.0</v>
      </c>
      <c r="AA24" s="20">
        <v>0.0</v>
      </c>
      <c r="AB24" s="20">
        <f>12570</f>
        <v>12570</v>
      </c>
      <c r="AC24" s="17">
        <v>86556.0</v>
      </c>
      <c r="AD24" s="20">
        <v>0.0</v>
      </c>
      <c r="AE24" s="20">
        <v>0.0</v>
      </c>
      <c r="AF24" s="20">
        <v>0.0</v>
      </c>
      <c r="AG24" s="20">
        <v>0.0</v>
      </c>
      <c r="AH24" s="19">
        <f t="shared" si="6"/>
        <v>389510</v>
      </c>
    </row>
    <row r="25">
      <c r="A25" s="16" t="s">
        <v>27</v>
      </c>
      <c r="B25" s="27">
        <f t="shared" si="5"/>
        <v>0.01740106172</v>
      </c>
      <c r="C25" s="20">
        <v>0.0</v>
      </c>
      <c r="D25" s="17">
        <f>199057+8000+4680</f>
        <v>211737</v>
      </c>
      <c r="E25" s="20">
        <v>0.0</v>
      </c>
      <c r="F25" s="20">
        <v>0.0</v>
      </c>
      <c r="G25" s="20">
        <v>0.0</v>
      </c>
      <c r="H25" s="17">
        <v>39720.0</v>
      </c>
      <c r="I25" s="20">
        <v>0.0</v>
      </c>
      <c r="J25" s="20">
        <v>0.0</v>
      </c>
      <c r="K25" s="17">
        <v>12839.0</v>
      </c>
      <c r="L25" s="20">
        <v>0.0</v>
      </c>
      <c r="M25" s="20">
        <v>0.0</v>
      </c>
      <c r="N25" s="20">
        <v>0.0</v>
      </c>
      <c r="O25" s="20">
        <v>0.0</v>
      </c>
      <c r="P25" s="17">
        <v>167879.0</v>
      </c>
      <c r="Q25" s="20">
        <v>0.0</v>
      </c>
      <c r="R25" s="17">
        <v>27400.0</v>
      </c>
      <c r="S25" s="20">
        <v>0.0</v>
      </c>
      <c r="T25" s="20">
        <v>0.0</v>
      </c>
      <c r="U25" s="20">
        <v>0.0</v>
      </c>
      <c r="V25" s="17">
        <f>68019+13070</f>
        <v>81089</v>
      </c>
      <c r="W25" s="20">
        <v>0.0</v>
      </c>
      <c r="X25" s="20">
        <v>0.0</v>
      </c>
      <c r="Y25" s="20">
        <v>0.0</v>
      </c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17">
        <v>143098.0</v>
      </c>
      <c r="AF25" s="20">
        <v>0.0</v>
      </c>
      <c r="AG25" s="20">
        <v>0.0</v>
      </c>
      <c r="AH25" s="19">
        <f t="shared" si="6"/>
        <v>683762</v>
      </c>
    </row>
    <row r="26">
      <c r="A26" s="16" t="s">
        <v>28</v>
      </c>
      <c r="B26" s="27">
        <f t="shared" si="5"/>
        <v>0.004580667985</v>
      </c>
      <c r="C26" s="20">
        <v>0.0</v>
      </c>
      <c r="D26" s="20">
        <v>0.0</v>
      </c>
      <c r="E26" s="20">
        <v>0.0</v>
      </c>
      <c r="F26" s="20">
        <v>0.0</v>
      </c>
      <c r="G26" s="20">
        <v>0.0</v>
      </c>
      <c r="H26" s="17">
        <v>89997.0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20">
        <v>0.0</v>
      </c>
      <c r="O26" s="20">
        <v>0.0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  <c r="V26" s="20">
        <v>0.0</v>
      </c>
      <c r="W26" s="20">
        <v>0.0</v>
      </c>
      <c r="X26" s="17">
        <v>89997.0</v>
      </c>
      <c r="Y26" s="17">
        <v>0.0</v>
      </c>
      <c r="Z26" s="20">
        <v>0.0</v>
      </c>
      <c r="AA26" s="20">
        <v>0.0</v>
      </c>
      <c r="AB26" s="20">
        <v>0.0</v>
      </c>
      <c r="AC26" s="20">
        <v>0.0</v>
      </c>
      <c r="AD26" s="20">
        <v>0.0</v>
      </c>
      <c r="AE26" s="20">
        <v>0.0</v>
      </c>
      <c r="AF26" s="20">
        <v>0.0</v>
      </c>
      <c r="AG26" s="20">
        <v>0.0</v>
      </c>
      <c r="AH26" s="19">
        <f t="shared" si="6"/>
        <v>179994</v>
      </c>
    </row>
    <row r="27">
      <c r="A27" s="16" t="s">
        <v>29</v>
      </c>
      <c r="B27" s="27">
        <f t="shared" si="5"/>
        <v>0</v>
      </c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M27" s="20">
        <v>0.0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20">
        <v>0.0</v>
      </c>
      <c r="T27" s="20">
        <v>0.0</v>
      </c>
      <c r="U27" s="20">
        <v>0.0</v>
      </c>
      <c r="V27" s="20">
        <v>0.0</v>
      </c>
      <c r="W27" s="20">
        <v>0.0</v>
      </c>
      <c r="X27" s="20">
        <v>0.0</v>
      </c>
      <c r="Y27" s="20">
        <v>0.0</v>
      </c>
      <c r="Z27" s="20">
        <v>0.0</v>
      </c>
      <c r="AA27" s="20">
        <v>0.0</v>
      </c>
      <c r="AB27" s="20">
        <v>0.0</v>
      </c>
      <c r="AC27" s="20">
        <v>0.0</v>
      </c>
      <c r="AD27" s="20">
        <v>0.0</v>
      </c>
      <c r="AE27" s="20">
        <v>0.0</v>
      </c>
      <c r="AF27" s="20">
        <v>0.0</v>
      </c>
      <c r="AG27" s="20">
        <v>0.0</v>
      </c>
      <c r="AH27" s="19">
        <f t="shared" si="6"/>
        <v>0</v>
      </c>
    </row>
    <row r="28">
      <c r="A28" s="16" t="s">
        <v>30</v>
      </c>
      <c r="B28" s="27">
        <f t="shared" si="5"/>
        <v>0</v>
      </c>
      <c r="C28" s="20">
        <v>0.0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0.0</v>
      </c>
      <c r="R28" s="20">
        <v>0.0</v>
      </c>
      <c r="S28" s="20">
        <v>0.0</v>
      </c>
      <c r="T28" s="20">
        <v>0.0</v>
      </c>
      <c r="U28" s="20">
        <v>0.0</v>
      </c>
      <c r="V28" s="20">
        <v>0.0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0.0</v>
      </c>
      <c r="AC28" s="20">
        <v>0.0</v>
      </c>
      <c r="AD28" s="20">
        <v>0.0</v>
      </c>
      <c r="AE28" s="20">
        <v>0.0</v>
      </c>
      <c r="AF28" s="20">
        <v>0.0</v>
      </c>
      <c r="AG28" s="20">
        <v>0.0</v>
      </c>
      <c r="AH28" s="19">
        <f t="shared" si="6"/>
        <v>0</v>
      </c>
    </row>
    <row r="29">
      <c r="A29" s="16" t="s">
        <v>31</v>
      </c>
      <c r="B29" s="27">
        <f t="shared" si="5"/>
        <v>0.01648657722</v>
      </c>
      <c r="C29" s="20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17">
        <v>74000.0</v>
      </c>
      <c r="K29" s="17">
        <v>177610.0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0.0</v>
      </c>
      <c r="T29" s="20">
        <v>0.0</v>
      </c>
      <c r="U29" s="20">
        <v>0.0</v>
      </c>
      <c r="V29" s="20">
        <v>0.0</v>
      </c>
      <c r="W29" s="17">
        <v>235218.0</v>
      </c>
      <c r="X29" s="20">
        <v>0.0</v>
      </c>
      <c r="Y29" s="20">
        <v>0.0</v>
      </c>
      <c r="Z29" s="20">
        <f>74000+13000</f>
        <v>87000</v>
      </c>
      <c r="AA29" s="20">
        <v>0.0</v>
      </c>
      <c r="AB29" s="20">
        <v>0.0</v>
      </c>
      <c r="AC29" s="20">
        <v>0.0</v>
      </c>
      <c r="AD29" s="20">
        <v>0.0</v>
      </c>
      <c r="AE29" s="17">
        <v>74000.0</v>
      </c>
      <c r="AF29" s="20">
        <v>0.0</v>
      </c>
      <c r="AG29" s="20">
        <v>0.0</v>
      </c>
      <c r="AH29" s="19">
        <f t="shared" si="6"/>
        <v>647828</v>
      </c>
    </row>
    <row r="30">
      <c r="A30" s="7"/>
      <c r="B30" s="8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7"/>
      <c r="AH30" s="7"/>
    </row>
    <row r="31">
      <c r="A31" s="31" t="s">
        <v>32</v>
      </c>
      <c r="B31" s="32">
        <f t="shared" ref="B31:B59" si="8">AH31/$AH$10</f>
        <v>0.2216495998</v>
      </c>
      <c r="C31" s="33">
        <f t="shared" ref="C31:AH31" si="7">sum(C32+C51+C61)</f>
        <v>0</v>
      </c>
      <c r="D31" s="33">
        <f t="shared" si="7"/>
        <v>614000</v>
      </c>
      <c r="E31" s="33">
        <f t="shared" si="7"/>
        <v>58245</v>
      </c>
      <c r="F31" s="33">
        <f t="shared" si="7"/>
        <v>0</v>
      </c>
      <c r="G31" s="33">
        <f t="shared" si="7"/>
        <v>276088</v>
      </c>
      <c r="H31" s="33">
        <f t="shared" si="7"/>
        <v>210771</v>
      </c>
      <c r="I31" s="33">
        <f t="shared" si="7"/>
        <v>1945512</v>
      </c>
      <c r="J31" s="33">
        <f t="shared" si="7"/>
        <v>100000</v>
      </c>
      <c r="K31" s="33">
        <f t="shared" si="7"/>
        <v>3944</v>
      </c>
      <c r="L31" s="33">
        <f t="shared" si="7"/>
        <v>87200</v>
      </c>
      <c r="M31" s="33">
        <f t="shared" si="7"/>
        <v>2810159</v>
      </c>
      <c r="N31" s="33">
        <f t="shared" si="7"/>
        <v>0</v>
      </c>
      <c r="O31" s="33">
        <f t="shared" si="7"/>
        <v>0</v>
      </c>
      <c r="P31" s="33">
        <f t="shared" si="7"/>
        <v>24300</v>
      </c>
      <c r="Q31" s="33">
        <f t="shared" si="7"/>
        <v>0</v>
      </c>
      <c r="R31" s="33">
        <f t="shared" si="7"/>
        <v>673295</v>
      </c>
      <c r="S31" s="33">
        <f t="shared" si="7"/>
        <v>0</v>
      </c>
      <c r="T31" s="33">
        <f t="shared" si="7"/>
        <v>377992</v>
      </c>
      <c r="U31" s="33">
        <f t="shared" si="7"/>
        <v>120000</v>
      </c>
      <c r="V31" s="33">
        <f t="shared" si="7"/>
        <v>0</v>
      </c>
      <c r="W31" s="33">
        <f t="shared" si="7"/>
        <v>10400</v>
      </c>
      <c r="X31" s="33">
        <f t="shared" si="7"/>
        <v>0</v>
      </c>
      <c r="Y31" s="33">
        <f t="shared" si="7"/>
        <v>0</v>
      </c>
      <c r="Z31" s="33">
        <f t="shared" si="7"/>
        <v>0</v>
      </c>
      <c r="AA31" s="33">
        <f t="shared" si="7"/>
        <v>0</v>
      </c>
      <c r="AB31" s="33">
        <f t="shared" si="7"/>
        <v>8490</v>
      </c>
      <c r="AC31" s="33">
        <f t="shared" si="7"/>
        <v>169441</v>
      </c>
      <c r="AD31" s="33">
        <f t="shared" si="7"/>
        <v>216478</v>
      </c>
      <c r="AE31" s="33">
        <f t="shared" si="7"/>
        <v>0</v>
      </c>
      <c r="AF31" s="33">
        <f t="shared" si="7"/>
        <v>375344</v>
      </c>
      <c r="AG31" s="33">
        <f t="shared" si="7"/>
        <v>627900</v>
      </c>
      <c r="AH31" s="34">
        <f t="shared" si="7"/>
        <v>8709559</v>
      </c>
    </row>
    <row r="32">
      <c r="A32" s="35" t="s">
        <v>33</v>
      </c>
      <c r="B32" s="36">
        <f t="shared" si="8"/>
        <v>0.1615736127</v>
      </c>
      <c r="C32" s="37">
        <f t="shared" ref="C32:AH32" si="9">sum(C33:C50)</f>
        <v>0</v>
      </c>
      <c r="D32" s="37">
        <f t="shared" si="9"/>
        <v>0</v>
      </c>
      <c r="E32" s="37">
        <f t="shared" si="9"/>
        <v>0</v>
      </c>
      <c r="F32" s="37">
        <f t="shared" si="9"/>
        <v>0</v>
      </c>
      <c r="G32" s="37">
        <f t="shared" si="9"/>
        <v>167310</v>
      </c>
      <c r="H32" s="37">
        <f t="shared" si="9"/>
        <v>121071</v>
      </c>
      <c r="I32" s="37">
        <f t="shared" si="9"/>
        <v>1945512</v>
      </c>
      <c r="J32" s="37">
        <f t="shared" si="9"/>
        <v>100000</v>
      </c>
      <c r="K32" s="37">
        <f t="shared" si="9"/>
        <v>0</v>
      </c>
      <c r="L32" s="37">
        <f t="shared" si="9"/>
        <v>87200</v>
      </c>
      <c r="M32" s="37">
        <f t="shared" si="9"/>
        <v>2810159</v>
      </c>
      <c r="N32" s="37">
        <f t="shared" si="9"/>
        <v>0</v>
      </c>
      <c r="O32" s="37">
        <f t="shared" si="9"/>
        <v>0</v>
      </c>
      <c r="P32" s="37">
        <f t="shared" si="9"/>
        <v>0</v>
      </c>
      <c r="Q32" s="37">
        <f t="shared" si="9"/>
        <v>0</v>
      </c>
      <c r="R32" s="37">
        <f t="shared" si="9"/>
        <v>673295</v>
      </c>
      <c r="S32" s="37">
        <f t="shared" si="9"/>
        <v>0</v>
      </c>
      <c r="T32" s="37">
        <f t="shared" si="9"/>
        <v>368492</v>
      </c>
      <c r="U32" s="37">
        <f t="shared" si="9"/>
        <v>0</v>
      </c>
      <c r="V32" s="37">
        <f t="shared" si="9"/>
        <v>0</v>
      </c>
      <c r="W32" s="37">
        <f t="shared" si="9"/>
        <v>0</v>
      </c>
      <c r="X32" s="37">
        <f t="shared" si="9"/>
        <v>0</v>
      </c>
      <c r="Y32" s="37">
        <f t="shared" si="9"/>
        <v>0</v>
      </c>
      <c r="Z32" s="37">
        <f t="shared" si="9"/>
        <v>0</v>
      </c>
      <c r="AA32" s="37">
        <f t="shared" si="9"/>
        <v>0</v>
      </c>
      <c r="AB32" s="37">
        <f t="shared" si="9"/>
        <v>0</v>
      </c>
      <c r="AC32" s="37">
        <f t="shared" si="9"/>
        <v>0</v>
      </c>
      <c r="AD32" s="37">
        <f t="shared" si="9"/>
        <v>47754</v>
      </c>
      <c r="AE32" s="37">
        <f t="shared" si="9"/>
        <v>0</v>
      </c>
      <c r="AF32" s="37">
        <f t="shared" si="9"/>
        <v>28124</v>
      </c>
      <c r="AG32" s="37">
        <f t="shared" si="9"/>
        <v>0</v>
      </c>
      <c r="AH32" s="38">
        <f t="shared" si="9"/>
        <v>6348917</v>
      </c>
    </row>
    <row r="33">
      <c r="A33" s="16" t="s">
        <v>34</v>
      </c>
      <c r="B33" s="27">
        <f t="shared" si="8"/>
        <v>0.004068277743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20">
        <v>0.0</v>
      </c>
      <c r="I33" s="20">
        <v>0.0</v>
      </c>
      <c r="J33" s="20">
        <v>0.0</v>
      </c>
      <c r="K33" s="20">
        <v>0.0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  <c r="Q33" s="20">
        <v>0.0</v>
      </c>
      <c r="R33" s="17">
        <v>159860.0</v>
      </c>
      <c r="S33" s="20">
        <v>0.0</v>
      </c>
      <c r="T33" s="20">
        <v>0.0</v>
      </c>
      <c r="U33" s="20">
        <v>0.0</v>
      </c>
      <c r="V33" s="20">
        <v>0.0</v>
      </c>
      <c r="W33" s="20">
        <v>0.0</v>
      </c>
      <c r="X33" s="20">
        <v>0.0</v>
      </c>
      <c r="Y33" s="20">
        <v>0.0</v>
      </c>
      <c r="Z33" s="20">
        <v>0.0</v>
      </c>
      <c r="AA33" s="20">
        <v>0.0</v>
      </c>
      <c r="AB33" s="20">
        <v>0.0</v>
      </c>
      <c r="AC33" s="20">
        <v>0.0</v>
      </c>
      <c r="AD33" s="20">
        <v>0.0</v>
      </c>
      <c r="AE33" s="20">
        <v>0.0</v>
      </c>
      <c r="AF33" s="20">
        <v>0.0</v>
      </c>
      <c r="AG33" s="20">
        <v>0.0</v>
      </c>
      <c r="AH33" s="19">
        <f t="shared" ref="AH33:AH50" si="10">SUM(C33:AG33)</f>
        <v>159860</v>
      </c>
    </row>
    <row r="34">
      <c r="A34" s="16" t="s">
        <v>35</v>
      </c>
      <c r="B34" s="27">
        <f t="shared" si="8"/>
        <v>0.003579784116</v>
      </c>
      <c r="C34" s="20">
        <v>0.0</v>
      </c>
      <c r="D34" s="20">
        <v>0.0</v>
      </c>
      <c r="E34" s="20">
        <v>0.0</v>
      </c>
      <c r="F34" s="20">
        <v>0.0</v>
      </c>
      <c r="G34" s="20">
        <v>0.0</v>
      </c>
      <c r="H34" s="20">
        <v>0.0</v>
      </c>
      <c r="I34" s="20">
        <v>0.0</v>
      </c>
      <c r="J34" s="20">
        <v>0.0</v>
      </c>
      <c r="K34" s="20">
        <v>0.0</v>
      </c>
      <c r="L34" s="20">
        <v>0.0</v>
      </c>
      <c r="M34" s="20">
        <v>0.0</v>
      </c>
      <c r="N34" s="20">
        <v>0.0</v>
      </c>
      <c r="O34" s="20">
        <v>0.0</v>
      </c>
      <c r="P34" s="20">
        <v>0.0</v>
      </c>
      <c r="Q34" s="20">
        <v>0.0</v>
      </c>
      <c r="R34" s="17">
        <v>140665.0</v>
      </c>
      <c r="S34" s="20">
        <v>0.0</v>
      </c>
      <c r="T34" s="20">
        <v>0.0</v>
      </c>
      <c r="U34" s="20">
        <v>0.0</v>
      </c>
      <c r="V34" s="20">
        <v>0.0</v>
      </c>
      <c r="W34" s="20">
        <v>0.0</v>
      </c>
      <c r="X34" s="20">
        <v>0.0</v>
      </c>
      <c r="Y34" s="20">
        <v>0.0</v>
      </c>
      <c r="Z34" s="20">
        <v>0.0</v>
      </c>
      <c r="AA34" s="20">
        <v>0.0</v>
      </c>
      <c r="AB34" s="20">
        <v>0.0</v>
      </c>
      <c r="AC34" s="20">
        <v>0.0</v>
      </c>
      <c r="AD34" s="20">
        <v>0.0</v>
      </c>
      <c r="AE34" s="20">
        <v>0.0</v>
      </c>
      <c r="AF34" s="20">
        <v>0.0</v>
      </c>
      <c r="AG34" s="20">
        <v>0.0</v>
      </c>
      <c r="AH34" s="19">
        <f t="shared" si="10"/>
        <v>140665</v>
      </c>
    </row>
    <row r="35">
      <c r="A35" s="16" t="s">
        <v>36</v>
      </c>
      <c r="B35" s="27">
        <f t="shared" si="8"/>
        <v>0.009486625136</v>
      </c>
      <c r="C35" s="20">
        <v>0.0</v>
      </c>
      <c r="D35" s="20">
        <v>0.0</v>
      </c>
      <c r="E35" s="20">
        <v>0.0</v>
      </c>
      <c r="F35" s="20">
        <v>0.0</v>
      </c>
      <c r="G35" s="20">
        <v>0.0</v>
      </c>
      <c r="H35" s="20">
        <v>0.0</v>
      </c>
      <c r="I35" s="20">
        <v>0.0</v>
      </c>
      <c r="J35" s="20">
        <v>0.0</v>
      </c>
      <c r="K35" s="20">
        <v>0.0</v>
      </c>
      <c r="L35" s="20">
        <v>0.0</v>
      </c>
      <c r="M35" s="20">
        <v>0.0</v>
      </c>
      <c r="N35" s="20">
        <v>0.0</v>
      </c>
      <c r="O35" s="20">
        <v>0.0</v>
      </c>
      <c r="P35" s="20">
        <v>0.0</v>
      </c>
      <c r="Q35" s="20">
        <v>0.0</v>
      </c>
      <c r="R35" s="17">
        <v>372770.0</v>
      </c>
      <c r="S35" s="20">
        <v>0.0</v>
      </c>
      <c r="T35" s="20">
        <v>0.0</v>
      </c>
      <c r="U35" s="20">
        <v>0.0</v>
      </c>
      <c r="V35" s="20">
        <v>0.0</v>
      </c>
      <c r="W35" s="17">
        <v>0.0</v>
      </c>
      <c r="X35" s="20">
        <v>0.0</v>
      </c>
      <c r="Y35" s="20">
        <v>0.0</v>
      </c>
      <c r="Z35" s="20">
        <v>0.0</v>
      </c>
      <c r="AA35" s="20">
        <v>0.0</v>
      </c>
      <c r="AB35" s="20">
        <v>0.0</v>
      </c>
      <c r="AC35" s="20">
        <v>0.0</v>
      </c>
      <c r="AD35" s="20">
        <v>0.0</v>
      </c>
      <c r="AE35" s="20">
        <v>0.0</v>
      </c>
      <c r="AF35" s="20">
        <v>0.0</v>
      </c>
      <c r="AG35" s="20">
        <v>0.0</v>
      </c>
      <c r="AH35" s="19">
        <f t="shared" si="10"/>
        <v>372770</v>
      </c>
    </row>
    <row r="36">
      <c r="A36" s="16" t="s">
        <v>37</v>
      </c>
      <c r="B36" s="27">
        <f t="shared" si="8"/>
        <v>0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20">
        <v>0.0</v>
      </c>
      <c r="R36" s="20">
        <v>0.0</v>
      </c>
      <c r="S36" s="20">
        <v>0.0</v>
      </c>
      <c r="T36" s="20">
        <v>0.0</v>
      </c>
      <c r="U36" s="20">
        <v>0.0</v>
      </c>
      <c r="V36" s="20">
        <v>0.0</v>
      </c>
      <c r="W36" s="20">
        <v>0.0</v>
      </c>
      <c r="X36" s="20">
        <v>0.0</v>
      </c>
      <c r="Y36" s="20">
        <v>0.0</v>
      </c>
      <c r="Z36" s="20">
        <v>0.0</v>
      </c>
      <c r="AA36" s="20">
        <v>0.0</v>
      </c>
      <c r="AB36" s="20">
        <v>0.0</v>
      </c>
      <c r="AC36" s="20">
        <v>0.0</v>
      </c>
      <c r="AD36" s="20">
        <v>0.0</v>
      </c>
      <c r="AE36" s="20">
        <v>0.0</v>
      </c>
      <c r="AF36" s="20">
        <v>0.0</v>
      </c>
      <c r="AG36" s="20">
        <v>0.0</v>
      </c>
      <c r="AH36" s="19">
        <f t="shared" si="10"/>
        <v>0</v>
      </c>
    </row>
    <row r="37">
      <c r="A37" s="16" t="s">
        <v>38</v>
      </c>
      <c r="B37" s="27">
        <f t="shared" si="8"/>
        <v>0.005205619171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17">
        <v>109554.0</v>
      </c>
      <c r="I37" s="20">
        <v>0.0</v>
      </c>
      <c r="J37" s="20">
        <v>0.0</v>
      </c>
      <c r="K37" s="20">
        <v>0.0</v>
      </c>
      <c r="L37" s="20">
        <v>0.0</v>
      </c>
      <c r="M37" s="17">
        <v>94997.0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20">
        <v>0.0</v>
      </c>
      <c r="T37" s="20">
        <v>0.0</v>
      </c>
      <c r="U37" s="20">
        <v>0.0</v>
      </c>
      <c r="V37" s="20">
        <v>0.0</v>
      </c>
      <c r="W37" s="20">
        <v>0.0</v>
      </c>
      <c r="X37" s="20">
        <v>0.0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20">
        <v>0.0</v>
      </c>
      <c r="AF37" s="20">
        <v>0.0</v>
      </c>
      <c r="AG37" s="20">
        <v>0.0</v>
      </c>
      <c r="AH37" s="19">
        <f t="shared" si="10"/>
        <v>204551</v>
      </c>
    </row>
    <row r="38">
      <c r="A38" s="16" t="s">
        <v>39</v>
      </c>
      <c r="B38" s="27">
        <f t="shared" si="8"/>
        <v>0.001215291726</v>
      </c>
      <c r="C38" s="20">
        <v>0.0</v>
      </c>
      <c r="D38" s="20">
        <v>0.0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20">
        <v>0.0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0.0</v>
      </c>
      <c r="R38" s="20">
        <v>0.0</v>
      </c>
      <c r="S38" s="20">
        <v>0.0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0.0</v>
      </c>
      <c r="Z38" s="20">
        <v>0.0</v>
      </c>
      <c r="AA38" s="20">
        <v>0.0</v>
      </c>
      <c r="AB38" s="20">
        <v>0.0</v>
      </c>
      <c r="AC38" s="20">
        <v>0.0</v>
      </c>
      <c r="AD38" s="17">
        <v>47754.0</v>
      </c>
      <c r="AE38" s="20">
        <v>0.0</v>
      </c>
      <c r="AF38" s="20">
        <v>0.0</v>
      </c>
      <c r="AG38" s="20">
        <v>0.0</v>
      </c>
      <c r="AH38" s="19">
        <f t="shared" si="10"/>
        <v>47754</v>
      </c>
    </row>
    <row r="39">
      <c r="A39" s="16" t="s">
        <v>40</v>
      </c>
      <c r="B39" s="27">
        <f t="shared" si="8"/>
        <v>0.0002930961764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17">
        <v>11517.0</v>
      </c>
      <c r="I39" s="20">
        <v>0.0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  <c r="V39" s="20">
        <v>0.0</v>
      </c>
      <c r="W39" s="20">
        <v>0.0</v>
      </c>
      <c r="X39" s="20">
        <v>0.0</v>
      </c>
      <c r="Y39" s="20">
        <v>0.0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>
        <v>0.0</v>
      </c>
      <c r="AH39" s="19">
        <f t="shared" si="10"/>
        <v>11517</v>
      </c>
    </row>
    <row r="40">
      <c r="A40" s="16" t="s">
        <v>41</v>
      </c>
      <c r="B40" s="27">
        <f t="shared" si="8"/>
        <v>0.007634701132</v>
      </c>
      <c r="C40" s="20">
        <v>0.0</v>
      </c>
      <c r="D40" s="20">
        <v>0.0</v>
      </c>
      <c r="E40" s="20">
        <v>0.0</v>
      </c>
      <c r="F40" s="20">
        <v>0.0</v>
      </c>
      <c r="G40" s="20">
        <v>0.0</v>
      </c>
      <c r="H40" s="20">
        <v>0.0</v>
      </c>
      <c r="I40" s="20">
        <v>0.0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20">
        <v>0.0</v>
      </c>
      <c r="P40" s="20">
        <v>0.0</v>
      </c>
      <c r="Q40" s="20">
        <v>0.0</v>
      </c>
      <c r="R40" s="20">
        <v>0.0</v>
      </c>
      <c r="S40" s="20">
        <v>0.0</v>
      </c>
      <c r="T40" s="17">
        <v>300000.0</v>
      </c>
      <c r="U40" s="20">
        <v>0.0</v>
      </c>
      <c r="V40" s="20">
        <v>0.0</v>
      </c>
      <c r="W40" s="20">
        <v>0.0</v>
      </c>
      <c r="X40" s="20">
        <v>0.0</v>
      </c>
      <c r="Y40" s="20">
        <v>0.0</v>
      </c>
      <c r="Z40" s="20">
        <v>0.0</v>
      </c>
      <c r="AA40" s="20">
        <v>0.0</v>
      </c>
      <c r="AB40" s="20">
        <v>0.0</v>
      </c>
      <c r="AC40" s="20">
        <v>0.0</v>
      </c>
      <c r="AD40" s="20">
        <v>0.0</v>
      </c>
      <c r="AE40" s="20">
        <v>0.0</v>
      </c>
      <c r="AF40" s="20">
        <v>0.0</v>
      </c>
      <c r="AG40" s="20">
        <v>0.0</v>
      </c>
      <c r="AH40" s="19">
        <f t="shared" si="10"/>
        <v>300000</v>
      </c>
    </row>
    <row r="41">
      <c r="A41" s="16" t="s">
        <v>42</v>
      </c>
      <c r="B41" s="27">
        <f t="shared" si="8"/>
        <v>0.04651217713</v>
      </c>
      <c r="C41" s="20">
        <v>0.0</v>
      </c>
      <c r="D41" s="20">
        <v>0.0</v>
      </c>
      <c r="E41" s="20">
        <v>0.0</v>
      </c>
      <c r="F41" s="20">
        <v>0.0</v>
      </c>
      <c r="G41" s="20">
        <v>0.0</v>
      </c>
      <c r="H41" s="20">
        <v>0.0</v>
      </c>
      <c r="I41" s="17">
        <v>1827662.0</v>
      </c>
      <c r="J41" s="20">
        <v>0.0</v>
      </c>
      <c r="K41" s="20">
        <v>0.0</v>
      </c>
      <c r="L41" s="20">
        <v>0.0</v>
      </c>
      <c r="M41" s="20">
        <v>0.0</v>
      </c>
      <c r="N41" s="20">
        <v>0.0</v>
      </c>
      <c r="O41" s="20">
        <v>0.0</v>
      </c>
      <c r="P41" s="20">
        <v>0.0</v>
      </c>
      <c r="Q41" s="20">
        <v>0.0</v>
      </c>
      <c r="R41" s="20">
        <v>0.0</v>
      </c>
      <c r="S41" s="20">
        <v>0.0</v>
      </c>
      <c r="T41" s="20">
        <v>0.0</v>
      </c>
      <c r="U41" s="20">
        <v>0.0</v>
      </c>
      <c r="V41" s="20">
        <v>0.0</v>
      </c>
      <c r="W41" s="20">
        <v>0.0</v>
      </c>
      <c r="X41" s="20">
        <v>0.0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20">
        <v>0.0</v>
      </c>
      <c r="AE41" s="20">
        <v>0.0</v>
      </c>
      <c r="AF41" s="20">
        <v>0.0</v>
      </c>
      <c r="AG41" s="20">
        <v>0.0</v>
      </c>
      <c r="AH41" s="19">
        <f t="shared" si="10"/>
        <v>1827662</v>
      </c>
    </row>
    <row r="42">
      <c r="A42" s="16" t="s">
        <v>43</v>
      </c>
      <c r="B42" s="27">
        <f t="shared" si="8"/>
        <v>0.002999165095</v>
      </c>
      <c r="C42" s="20">
        <v>0.0</v>
      </c>
      <c r="D42" s="20">
        <v>0.0</v>
      </c>
      <c r="E42" s="20">
        <v>0.0</v>
      </c>
      <c r="F42" s="20">
        <v>0.0</v>
      </c>
      <c r="G42" s="20">
        <v>0.0</v>
      </c>
      <c r="H42" s="20">
        <v>0.0</v>
      </c>
      <c r="I42" s="17">
        <v>117850.0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0.0</v>
      </c>
      <c r="AF42" s="20">
        <v>0.0</v>
      </c>
      <c r="AG42" s="20">
        <v>0.0</v>
      </c>
      <c r="AH42" s="19">
        <f t="shared" si="10"/>
        <v>117850</v>
      </c>
    </row>
    <row r="43">
      <c r="A43" s="16" t="s">
        <v>45</v>
      </c>
      <c r="B43" s="27">
        <f t="shared" si="8"/>
        <v>0</v>
      </c>
      <c r="C43" s="20">
        <v>0.0</v>
      </c>
      <c r="D43" s="20">
        <v>0.0</v>
      </c>
      <c r="E43" s="20">
        <v>0.0</v>
      </c>
      <c r="F43" s="20">
        <v>0.0</v>
      </c>
      <c r="G43" s="20">
        <v>0.0</v>
      </c>
      <c r="H43" s="20">
        <v>0.0</v>
      </c>
      <c r="I43" s="20">
        <v>0.0</v>
      </c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20">
        <v>0.0</v>
      </c>
      <c r="AD43" s="20">
        <v>0.0</v>
      </c>
      <c r="AE43" s="20">
        <v>0.0</v>
      </c>
      <c r="AF43" s="20">
        <v>0.0</v>
      </c>
      <c r="AG43" s="20">
        <v>0.0</v>
      </c>
      <c r="AH43" s="19">
        <f t="shared" si="10"/>
        <v>0</v>
      </c>
    </row>
    <row r="44">
      <c r="A44" s="16" t="s">
        <v>46</v>
      </c>
      <c r="B44" s="27">
        <f t="shared" si="8"/>
        <v>0.004764053506</v>
      </c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20">
        <v>0.0</v>
      </c>
      <c r="J44" s="17">
        <v>100000.0</v>
      </c>
      <c r="K44" s="20">
        <v>0.0</v>
      </c>
      <c r="L44" s="17">
        <v>87200.0</v>
      </c>
      <c r="M44" s="20">
        <v>0.0</v>
      </c>
      <c r="N44" s="20">
        <v>0.0</v>
      </c>
      <c r="O44" s="20">
        <v>0.0</v>
      </c>
      <c r="P44" s="20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20">
        <v>0.0</v>
      </c>
      <c r="W44" s="20">
        <v>0.0</v>
      </c>
      <c r="X44" s="20">
        <v>0.0</v>
      </c>
      <c r="Y44" s="20">
        <v>0.0</v>
      </c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20">
        <v>0.0</v>
      </c>
      <c r="AF44" s="20">
        <v>0.0</v>
      </c>
      <c r="AG44" s="20">
        <v>0.0</v>
      </c>
      <c r="AH44" s="19">
        <f t="shared" si="10"/>
        <v>187200</v>
      </c>
    </row>
    <row r="45">
      <c r="A45" s="16" t="s">
        <v>47</v>
      </c>
      <c r="B45" s="27">
        <f t="shared" si="8"/>
        <v>0.001743053166</v>
      </c>
      <c r="C45" s="20">
        <v>0.0</v>
      </c>
      <c r="D45" s="20">
        <v>0.0</v>
      </c>
      <c r="E45" s="20">
        <v>0.0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0">
        <v>0.0</v>
      </c>
      <c r="M45" s="20">
        <v>0.0</v>
      </c>
      <c r="N45" s="20">
        <v>0.0</v>
      </c>
      <c r="O45" s="20">
        <v>0.0</v>
      </c>
      <c r="P45" s="20">
        <v>0.0</v>
      </c>
      <c r="Q45" s="20">
        <v>0.0</v>
      </c>
      <c r="R45" s="20">
        <v>0.0</v>
      </c>
      <c r="S45" s="20">
        <v>0.0</v>
      </c>
      <c r="T45" s="17">
        <v>68492.0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20">
        <v>0.0</v>
      </c>
      <c r="AA45" s="20">
        <v>0.0</v>
      </c>
      <c r="AB45" s="20">
        <v>0.0</v>
      </c>
      <c r="AC45" s="20">
        <v>0.0</v>
      </c>
      <c r="AD45" s="20">
        <v>0.0</v>
      </c>
      <c r="AE45" s="20">
        <v>0.0</v>
      </c>
      <c r="AF45" s="20">
        <v>0.0</v>
      </c>
      <c r="AG45" s="20">
        <v>0.0</v>
      </c>
      <c r="AH45" s="19">
        <f t="shared" si="10"/>
        <v>68492</v>
      </c>
    </row>
    <row r="46">
      <c r="A46" s="16" t="s">
        <v>48</v>
      </c>
      <c r="B46" s="27">
        <f t="shared" si="8"/>
        <v>0.002035920302</v>
      </c>
      <c r="C46" s="20">
        <v>0.0</v>
      </c>
      <c r="D46" s="20">
        <v>0.0</v>
      </c>
      <c r="E46" s="20">
        <v>0.0</v>
      </c>
      <c r="F46" s="20">
        <v>0.0</v>
      </c>
      <c r="G46" s="17">
        <v>80000.0</v>
      </c>
      <c r="H46" s="20">
        <v>0.0</v>
      </c>
      <c r="I46" s="20">
        <v>0.0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  <c r="V46" s="20">
        <v>0.0</v>
      </c>
      <c r="W46" s="20">
        <v>0.0</v>
      </c>
      <c r="X46" s="20">
        <v>0.0</v>
      </c>
      <c r="Y46" s="20">
        <v>0.0</v>
      </c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20">
        <v>0.0</v>
      </c>
      <c r="AF46" s="20">
        <v>0.0</v>
      </c>
      <c r="AG46" s="20">
        <v>0.0</v>
      </c>
      <c r="AH46" s="19">
        <f t="shared" si="10"/>
        <v>80000</v>
      </c>
    </row>
    <row r="47">
      <c r="A47" s="16" t="s">
        <v>49</v>
      </c>
      <c r="B47" s="27">
        <f t="shared" si="8"/>
        <v>0.002937680301</v>
      </c>
      <c r="C47" s="20">
        <v>0.0</v>
      </c>
      <c r="D47" s="20">
        <v>0.0</v>
      </c>
      <c r="E47" s="20">
        <v>0.0</v>
      </c>
      <c r="F47" s="20">
        <v>0.0</v>
      </c>
      <c r="G47" s="17">
        <v>87310.0</v>
      </c>
      <c r="H47" s="20">
        <v>0.0</v>
      </c>
      <c r="I47" s="20">
        <v>0.0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0">
        <v>0.0</v>
      </c>
      <c r="Q47" s="20">
        <v>0.0</v>
      </c>
      <c r="R47" s="20">
        <v>0.0</v>
      </c>
      <c r="S47" s="20">
        <v>0.0</v>
      </c>
      <c r="T47" s="20">
        <v>0.0</v>
      </c>
      <c r="U47" s="20">
        <v>0.0</v>
      </c>
      <c r="V47" s="20">
        <v>0.0</v>
      </c>
      <c r="W47" s="20">
        <v>0.0</v>
      </c>
      <c r="X47" s="20">
        <v>0.0</v>
      </c>
      <c r="Y47" s="20">
        <v>0.0</v>
      </c>
      <c r="Z47" s="20">
        <v>0.0</v>
      </c>
      <c r="AA47" s="20">
        <v>0.0</v>
      </c>
      <c r="AB47" s="20">
        <v>0.0</v>
      </c>
      <c r="AC47" s="20">
        <v>0.0</v>
      </c>
      <c r="AD47" s="20">
        <v>0.0</v>
      </c>
      <c r="AE47" s="20">
        <v>0.0</v>
      </c>
      <c r="AF47" s="17">
        <v>28124.0</v>
      </c>
      <c r="AG47" s="20">
        <v>0.0</v>
      </c>
      <c r="AH47" s="19">
        <f t="shared" si="10"/>
        <v>115434</v>
      </c>
    </row>
    <row r="48">
      <c r="A48" s="16" t="s">
        <v>50</v>
      </c>
      <c r="B48" s="27">
        <f t="shared" si="8"/>
        <v>0</v>
      </c>
      <c r="C48" s="20">
        <v>0.0</v>
      </c>
      <c r="D48" s="20">
        <v>0.0</v>
      </c>
      <c r="E48" s="20">
        <v>0.0</v>
      </c>
      <c r="F48" s="20">
        <v>0.0</v>
      </c>
      <c r="G48" s="20">
        <v>0.0</v>
      </c>
      <c r="H48" s="20">
        <v>0.0</v>
      </c>
      <c r="I48" s="20">
        <v>0.0</v>
      </c>
      <c r="J48" s="20">
        <v>0.0</v>
      </c>
      <c r="K48" s="20">
        <v>0.0</v>
      </c>
      <c r="L48" s="20">
        <v>0.0</v>
      </c>
      <c r="M48" s="20">
        <v>0.0</v>
      </c>
      <c r="N48" s="20">
        <v>0.0</v>
      </c>
      <c r="O48" s="20">
        <v>0.0</v>
      </c>
      <c r="P48" s="20">
        <v>0.0</v>
      </c>
      <c r="Q48" s="20">
        <v>0.0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20">
        <v>0.0</v>
      </c>
      <c r="Z48" s="20">
        <v>0.0</v>
      </c>
      <c r="AA48" s="20">
        <v>0.0</v>
      </c>
      <c r="AB48" s="20">
        <v>0.0</v>
      </c>
      <c r="AC48" s="20">
        <v>0.0</v>
      </c>
      <c r="AD48" s="20">
        <v>0.0</v>
      </c>
      <c r="AE48" s="20">
        <v>0.0</v>
      </c>
      <c r="AF48" s="20">
        <v>0.0</v>
      </c>
      <c r="AG48" s="20">
        <v>0.0</v>
      </c>
      <c r="AH48" s="19">
        <f t="shared" si="10"/>
        <v>0</v>
      </c>
    </row>
    <row r="49">
      <c r="A49" s="16" t="s">
        <v>51</v>
      </c>
      <c r="B49" s="27">
        <f t="shared" si="8"/>
        <v>0</v>
      </c>
      <c r="C49" s="20">
        <v>0.0</v>
      </c>
      <c r="D49" s="20">
        <v>0.0</v>
      </c>
      <c r="E49" s="20">
        <v>0.0</v>
      </c>
      <c r="F49" s="20">
        <v>0.0</v>
      </c>
      <c r="G49" s="20">
        <v>0.0</v>
      </c>
      <c r="H49" s="20">
        <v>0.0</v>
      </c>
      <c r="I49" s="20">
        <v>0.0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0">
        <v>0.0</v>
      </c>
      <c r="P49" s="20">
        <v>0.0</v>
      </c>
      <c r="Q49" s="20">
        <v>0.0</v>
      </c>
      <c r="R49" s="20">
        <v>0.0</v>
      </c>
      <c r="S49" s="20">
        <v>0.0</v>
      </c>
      <c r="T49" s="20">
        <v>0.0</v>
      </c>
      <c r="U49" s="20">
        <v>0.0</v>
      </c>
      <c r="V49" s="20">
        <v>0.0</v>
      </c>
      <c r="W49" s="20">
        <v>0.0</v>
      </c>
      <c r="X49" s="20">
        <v>0.0</v>
      </c>
      <c r="Y49" s="20">
        <v>0.0</v>
      </c>
      <c r="Z49" s="20">
        <v>0.0</v>
      </c>
      <c r="AA49" s="20">
        <v>0.0</v>
      </c>
      <c r="AB49" s="20">
        <v>0.0</v>
      </c>
      <c r="AC49" s="20">
        <v>0.0</v>
      </c>
      <c r="AD49" s="20">
        <v>0.0</v>
      </c>
      <c r="AE49" s="20">
        <v>0.0</v>
      </c>
      <c r="AF49" s="20">
        <v>0.0</v>
      </c>
      <c r="AG49" s="20">
        <v>0.0</v>
      </c>
      <c r="AH49" s="19">
        <f t="shared" si="10"/>
        <v>0</v>
      </c>
    </row>
    <row r="50">
      <c r="A50" s="16" t="s">
        <v>52</v>
      </c>
      <c r="B50" s="27">
        <f t="shared" si="8"/>
        <v>0.06909816798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17">
        <v>2715162.0</v>
      </c>
      <c r="N50" s="20">
        <v>0.0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20">
        <v>0.0</v>
      </c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20">
        <v>0.0</v>
      </c>
      <c r="AF50" s="20">
        <v>0.0</v>
      </c>
      <c r="AG50" s="20">
        <v>0.0</v>
      </c>
      <c r="AH50" s="19">
        <f t="shared" si="10"/>
        <v>2715162</v>
      </c>
    </row>
    <row r="51">
      <c r="A51" s="35" t="s">
        <v>53</v>
      </c>
      <c r="B51" s="36">
        <f t="shared" si="8"/>
        <v>0.01545505275</v>
      </c>
      <c r="C51" s="37">
        <f t="shared" ref="C51:AE51" si="11">sum(C52:C59)</f>
        <v>0</v>
      </c>
      <c r="D51" s="37">
        <f t="shared" si="11"/>
        <v>14000</v>
      </c>
      <c r="E51" s="37">
        <f t="shared" si="11"/>
        <v>0</v>
      </c>
      <c r="F51" s="37">
        <f t="shared" si="11"/>
        <v>0</v>
      </c>
      <c r="G51" s="37">
        <f t="shared" si="11"/>
        <v>0</v>
      </c>
      <c r="H51" s="37">
        <f t="shared" si="11"/>
        <v>42100</v>
      </c>
      <c r="I51" s="37">
        <f t="shared" si="11"/>
        <v>0</v>
      </c>
      <c r="J51" s="37">
        <f t="shared" si="11"/>
        <v>0</v>
      </c>
      <c r="K51" s="37">
        <f t="shared" si="11"/>
        <v>3944</v>
      </c>
      <c r="L51" s="37">
        <f t="shared" si="11"/>
        <v>0</v>
      </c>
      <c r="M51" s="37">
        <f t="shared" si="11"/>
        <v>0</v>
      </c>
      <c r="N51" s="37">
        <f t="shared" si="11"/>
        <v>0</v>
      </c>
      <c r="O51" s="37">
        <f t="shared" si="11"/>
        <v>0</v>
      </c>
      <c r="P51" s="37">
        <f t="shared" si="11"/>
        <v>24300</v>
      </c>
      <c r="Q51" s="37">
        <f t="shared" si="11"/>
        <v>0</v>
      </c>
      <c r="R51" s="37">
        <f t="shared" si="11"/>
        <v>0</v>
      </c>
      <c r="S51" s="37">
        <f t="shared" si="11"/>
        <v>0</v>
      </c>
      <c r="T51" s="37">
        <f t="shared" si="11"/>
        <v>9500</v>
      </c>
      <c r="U51" s="37">
        <f t="shared" si="11"/>
        <v>0</v>
      </c>
      <c r="V51" s="37">
        <f t="shared" si="11"/>
        <v>0</v>
      </c>
      <c r="W51" s="37">
        <f t="shared" si="11"/>
        <v>10400</v>
      </c>
      <c r="X51" s="37">
        <f t="shared" si="11"/>
        <v>0</v>
      </c>
      <c r="Y51" s="37">
        <f t="shared" si="11"/>
        <v>0</v>
      </c>
      <c r="Z51" s="37">
        <f t="shared" si="11"/>
        <v>0</v>
      </c>
      <c r="AA51" s="37">
        <f t="shared" si="11"/>
        <v>0</v>
      </c>
      <c r="AB51" s="37">
        <f t="shared" si="11"/>
        <v>8490</v>
      </c>
      <c r="AC51" s="37">
        <f t="shared" si="11"/>
        <v>59441</v>
      </c>
      <c r="AD51" s="37">
        <f t="shared" si="11"/>
        <v>60000</v>
      </c>
      <c r="AE51" s="37">
        <f t="shared" si="11"/>
        <v>0</v>
      </c>
      <c r="AF51" s="37">
        <f>SUM(AF52:AF59)</f>
        <v>347220</v>
      </c>
      <c r="AG51" s="37">
        <f>sum(AG52:AG59)</f>
        <v>27900</v>
      </c>
      <c r="AH51" s="38">
        <f>SUM(AH52:AH59)</f>
        <v>607295</v>
      </c>
    </row>
    <row r="52">
      <c r="A52" s="16" t="s">
        <v>54</v>
      </c>
      <c r="B52" s="27">
        <f t="shared" si="8"/>
        <v>0.0001003708709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17">
        <v>3944.0</v>
      </c>
      <c r="L52" s="20">
        <v>0.0</v>
      </c>
      <c r="M52" s="20">
        <v>0.0</v>
      </c>
      <c r="N52" s="20">
        <v>0.0</v>
      </c>
      <c r="O52" s="20">
        <v>0.0</v>
      </c>
      <c r="P52" s="20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20">
        <v>0.0</v>
      </c>
      <c r="X52" s="20">
        <v>0.0</v>
      </c>
      <c r="Y52" s="20">
        <v>0.0</v>
      </c>
      <c r="Z52" s="20">
        <v>0.0</v>
      </c>
      <c r="AA52" s="20">
        <v>0.0</v>
      </c>
      <c r="AB52" s="20">
        <v>0.0</v>
      </c>
      <c r="AC52" s="20">
        <v>0.0</v>
      </c>
      <c r="AD52" s="20">
        <v>0.0</v>
      </c>
      <c r="AE52" s="20">
        <v>0.0</v>
      </c>
      <c r="AF52" s="20">
        <v>0.0</v>
      </c>
      <c r="AG52" s="20">
        <v>0.0</v>
      </c>
      <c r="AH52" s="19">
        <f t="shared" ref="AH52:AH59" si="12">SUM(C52:AG52)</f>
        <v>3944</v>
      </c>
    </row>
    <row r="53">
      <c r="A53" s="16" t="s">
        <v>55</v>
      </c>
      <c r="B53" s="27">
        <f t="shared" si="8"/>
        <v>0.001526940226</v>
      </c>
      <c r="C53" s="20">
        <v>0.0</v>
      </c>
      <c r="D53" s="20">
        <v>0.0</v>
      </c>
      <c r="E53" s="20">
        <v>0.0</v>
      </c>
      <c r="F53" s="20">
        <v>0.0</v>
      </c>
      <c r="G53" s="20">
        <v>0.0</v>
      </c>
      <c r="H53" s="20">
        <v>0.0</v>
      </c>
      <c r="I53" s="20">
        <v>0.0</v>
      </c>
      <c r="J53" s="20">
        <v>0.0</v>
      </c>
      <c r="K53" s="20">
        <v>0.0</v>
      </c>
      <c r="L53" s="20">
        <v>0.0</v>
      </c>
      <c r="M53" s="20">
        <v>0.0</v>
      </c>
      <c r="N53" s="20">
        <v>0.0</v>
      </c>
      <c r="O53" s="20">
        <v>0.0</v>
      </c>
      <c r="P53" s="20">
        <v>0.0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  <c r="V53" s="20">
        <v>0.0</v>
      </c>
      <c r="W53" s="20">
        <v>0.0</v>
      </c>
      <c r="X53" s="20">
        <v>0.0</v>
      </c>
      <c r="Y53" s="20">
        <v>0.0</v>
      </c>
      <c r="Z53" s="20">
        <v>0.0</v>
      </c>
      <c r="AA53" s="20">
        <v>0.0</v>
      </c>
      <c r="AB53" s="20">
        <v>0.0</v>
      </c>
      <c r="AC53" s="20">
        <v>0.0</v>
      </c>
      <c r="AD53" s="17">
        <v>60000.0</v>
      </c>
      <c r="AE53" s="20">
        <v>0.0</v>
      </c>
      <c r="AF53" s="20">
        <v>0.0</v>
      </c>
      <c r="AG53" s="20">
        <v>0.0</v>
      </c>
      <c r="AH53" s="19">
        <f t="shared" si="12"/>
        <v>60000</v>
      </c>
    </row>
    <row r="54">
      <c r="A54" s="16" t="s">
        <v>56</v>
      </c>
      <c r="B54" s="27">
        <f t="shared" si="8"/>
        <v>0.00883640309</v>
      </c>
      <c r="C54" s="20">
        <v>0.0</v>
      </c>
      <c r="D54" s="20">
        <v>0.0</v>
      </c>
      <c r="E54" s="20">
        <v>0.0</v>
      </c>
      <c r="F54" s="20">
        <v>0.0</v>
      </c>
      <c r="G54" s="20">
        <v>0.0</v>
      </c>
      <c r="H54" s="20">
        <v>0.0</v>
      </c>
      <c r="I54" s="20">
        <v>0.0</v>
      </c>
      <c r="J54" s="20">
        <v>0.0</v>
      </c>
      <c r="K54" s="20">
        <v>0.0</v>
      </c>
      <c r="L54" s="20">
        <v>0.0</v>
      </c>
      <c r="M54" s="20">
        <v>0.0</v>
      </c>
      <c r="N54" s="20">
        <v>0.0</v>
      </c>
      <c r="O54" s="20">
        <v>0.0</v>
      </c>
      <c r="P54" s="20">
        <v>0.0</v>
      </c>
      <c r="Q54" s="20">
        <v>0.0</v>
      </c>
      <c r="R54" s="20">
        <v>0.0</v>
      </c>
      <c r="S54" s="20">
        <v>0.0</v>
      </c>
      <c r="T54" s="20">
        <v>0.0</v>
      </c>
      <c r="U54" s="20">
        <v>0.0</v>
      </c>
      <c r="V54" s="20">
        <v>0.0</v>
      </c>
      <c r="W54" s="20">
        <v>0.0</v>
      </c>
      <c r="X54" s="20">
        <v>0.0</v>
      </c>
      <c r="Y54" s="20">
        <v>0.0</v>
      </c>
      <c r="Z54" s="20">
        <v>0.0</v>
      </c>
      <c r="AA54" s="20">
        <v>0.0</v>
      </c>
      <c r="AB54" s="20">
        <v>0.0</v>
      </c>
      <c r="AC54" s="20">
        <v>0.0</v>
      </c>
      <c r="AD54" s="20">
        <v>0.0</v>
      </c>
      <c r="AE54" s="20">
        <v>0.0</v>
      </c>
      <c r="AF54" s="17">
        <v>347220.0</v>
      </c>
      <c r="AG54" s="20">
        <v>0.0</v>
      </c>
      <c r="AH54" s="19">
        <f t="shared" si="12"/>
        <v>347220</v>
      </c>
    </row>
    <row r="55">
      <c r="A55" s="16" t="s">
        <v>57</v>
      </c>
      <c r="B55" s="27">
        <f t="shared" si="8"/>
        <v>0.002591497503</v>
      </c>
      <c r="C55" s="20">
        <v>0.0</v>
      </c>
      <c r="D55" s="17">
        <v>14000.0</v>
      </c>
      <c r="E55" s="20">
        <v>0.0</v>
      </c>
      <c r="F55" s="20">
        <v>0.0</v>
      </c>
      <c r="G55" s="20">
        <v>0.0</v>
      </c>
      <c r="H55" s="20">
        <v>0.0</v>
      </c>
      <c r="I55" s="20">
        <v>0.0</v>
      </c>
      <c r="J55" s="20">
        <v>0.0</v>
      </c>
      <c r="K55" s="20">
        <v>0.0</v>
      </c>
      <c r="L55" s="20">
        <v>0.0</v>
      </c>
      <c r="M55" s="20">
        <v>0.0</v>
      </c>
      <c r="N55" s="20">
        <v>0.0</v>
      </c>
      <c r="O55" s="20">
        <v>0.0</v>
      </c>
      <c r="P55" s="20">
        <v>0.0</v>
      </c>
      <c r="Q55" s="20">
        <v>0.0</v>
      </c>
      <c r="R55" s="20">
        <v>0.0</v>
      </c>
      <c r="S55" s="20">
        <v>0.0</v>
      </c>
      <c r="T55" s="17">
        <v>9500.0</v>
      </c>
      <c r="U55" s="20">
        <v>0.0</v>
      </c>
      <c r="V55" s="20">
        <v>0.0</v>
      </c>
      <c r="W55" s="17">
        <v>10400.0</v>
      </c>
      <c r="X55" s="20">
        <v>0.0</v>
      </c>
      <c r="Y55" s="20">
        <v>0.0</v>
      </c>
      <c r="Z55" s="20">
        <v>0.0</v>
      </c>
      <c r="AA55" s="20">
        <v>0.0</v>
      </c>
      <c r="AB55" s="17">
        <v>8490.0</v>
      </c>
      <c r="AC55" s="17">
        <v>59441.0</v>
      </c>
      <c r="AD55" s="20">
        <v>0.0</v>
      </c>
      <c r="AE55" s="20">
        <v>0.0</v>
      </c>
      <c r="AF55" s="20">
        <v>0.0</v>
      </c>
      <c r="AG55" s="20">
        <v>0.0</v>
      </c>
      <c r="AH55" s="19">
        <f t="shared" si="12"/>
        <v>101831</v>
      </c>
    </row>
    <row r="56">
      <c r="A56" s="16" t="s">
        <v>58</v>
      </c>
      <c r="B56" s="27">
        <f t="shared" si="8"/>
        <v>0</v>
      </c>
      <c r="C56" s="20">
        <v>0.0</v>
      </c>
      <c r="D56" s="20">
        <v>0.0</v>
      </c>
      <c r="E56" s="20">
        <v>0.0</v>
      </c>
      <c r="F56" s="20">
        <v>0.0</v>
      </c>
      <c r="G56" s="20">
        <v>0.0</v>
      </c>
      <c r="H56" s="20">
        <v>0.0</v>
      </c>
      <c r="I56" s="20">
        <v>0.0</v>
      </c>
      <c r="J56" s="20">
        <v>0.0</v>
      </c>
      <c r="K56" s="20">
        <v>0.0</v>
      </c>
      <c r="L56" s="20">
        <v>0.0</v>
      </c>
      <c r="M56" s="20">
        <v>0.0</v>
      </c>
      <c r="N56" s="20">
        <v>0.0</v>
      </c>
      <c r="O56" s="20">
        <v>0.0</v>
      </c>
      <c r="P56" s="20">
        <v>0.0</v>
      </c>
      <c r="Q56" s="20">
        <v>0.0</v>
      </c>
      <c r="R56" s="20">
        <v>0.0</v>
      </c>
      <c r="S56" s="20">
        <v>0.0</v>
      </c>
      <c r="T56" s="20">
        <v>0.0</v>
      </c>
      <c r="U56" s="20">
        <v>0.0</v>
      </c>
      <c r="V56" s="20">
        <v>0.0</v>
      </c>
      <c r="W56" s="20">
        <v>0.0</v>
      </c>
      <c r="X56" s="20">
        <v>0.0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20">
        <v>0.0</v>
      </c>
      <c r="AF56" s="20">
        <v>0.0</v>
      </c>
      <c r="AG56" s="20">
        <v>0.0</v>
      </c>
      <c r="AH56" s="19">
        <f t="shared" si="12"/>
        <v>0</v>
      </c>
    </row>
    <row r="57">
      <c r="A57" s="16" t="s">
        <v>59</v>
      </c>
      <c r="B57" s="27">
        <f t="shared" si="8"/>
        <v>0.002399841056</v>
      </c>
      <c r="C57" s="20">
        <v>0.0</v>
      </c>
      <c r="D57" s="20">
        <v>0.0</v>
      </c>
      <c r="E57" s="20">
        <v>0.0</v>
      </c>
      <c r="F57" s="20">
        <v>0.0</v>
      </c>
      <c r="G57" s="20">
        <v>0.0</v>
      </c>
      <c r="H57" s="17">
        <v>42100.0</v>
      </c>
      <c r="I57" s="20">
        <v>0.0</v>
      </c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17">
        <v>24300.0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  <c r="V57" s="20">
        <v>0.0</v>
      </c>
      <c r="W57" s="20">
        <v>0.0</v>
      </c>
      <c r="X57" s="20">
        <v>0.0</v>
      </c>
      <c r="Y57" s="20">
        <v>0.0</v>
      </c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17">
        <v>27900.0</v>
      </c>
      <c r="AH57" s="19">
        <f t="shared" si="12"/>
        <v>94300</v>
      </c>
    </row>
    <row r="58">
      <c r="A58" s="16" t="s">
        <v>60</v>
      </c>
      <c r="B58" s="27">
        <f t="shared" si="8"/>
        <v>0</v>
      </c>
      <c r="C58" s="20">
        <v>0.0</v>
      </c>
      <c r="D58" s="20">
        <v>0.0</v>
      </c>
      <c r="E58" s="20">
        <v>0.0</v>
      </c>
      <c r="F58" s="20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0">
        <v>0.0</v>
      </c>
      <c r="M58" s="20">
        <v>0.0</v>
      </c>
      <c r="N58" s="20">
        <v>0.0</v>
      </c>
      <c r="O58" s="20">
        <v>0.0</v>
      </c>
      <c r="P58" s="20">
        <v>0.0</v>
      </c>
      <c r="Q58" s="20">
        <v>0.0</v>
      </c>
      <c r="R58" s="20">
        <v>0.0</v>
      </c>
      <c r="S58" s="20">
        <v>0.0</v>
      </c>
      <c r="T58" s="20">
        <v>0.0</v>
      </c>
      <c r="U58" s="20">
        <v>0.0</v>
      </c>
      <c r="V58" s="20">
        <v>0.0</v>
      </c>
      <c r="W58" s="20">
        <v>0.0</v>
      </c>
      <c r="X58" s="20">
        <v>0.0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20">
        <v>0.0</v>
      </c>
      <c r="AE58" s="20">
        <v>0.0</v>
      </c>
      <c r="AF58" s="20">
        <v>0.0</v>
      </c>
      <c r="AG58" s="20">
        <v>0.0</v>
      </c>
      <c r="AH58" s="19">
        <f t="shared" si="12"/>
        <v>0</v>
      </c>
    </row>
    <row r="59">
      <c r="A59" s="16" t="s">
        <v>61</v>
      </c>
      <c r="B59" s="27">
        <f t="shared" si="8"/>
        <v>0</v>
      </c>
      <c r="C59" s="20">
        <v>0.0</v>
      </c>
      <c r="D59" s="20">
        <v>0.0</v>
      </c>
      <c r="E59" s="20">
        <v>0.0</v>
      </c>
      <c r="F59" s="20">
        <v>0.0</v>
      </c>
      <c r="G59" s="20">
        <v>0.0</v>
      </c>
      <c r="H59" s="20">
        <v>0.0</v>
      </c>
      <c r="I59" s="20">
        <v>0.0</v>
      </c>
      <c r="J59" s="20">
        <v>0.0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0.0</v>
      </c>
      <c r="S59" s="20">
        <v>0.0</v>
      </c>
      <c r="T59" s="20">
        <v>0.0</v>
      </c>
      <c r="U59" s="20">
        <v>0.0</v>
      </c>
      <c r="V59" s="20">
        <v>0.0</v>
      </c>
      <c r="W59" s="20">
        <v>0.0</v>
      </c>
      <c r="X59" s="20">
        <v>0.0</v>
      </c>
      <c r="Y59" s="20">
        <v>0.0</v>
      </c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20">
        <v>0.0</v>
      </c>
      <c r="AF59" s="20">
        <v>0.0</v>
      </c>
      <c r="AG59" s="20">
        <v>0.0</v>
      </c>
      <c r="AH59" s="19">
        <f t="shared" si="12"/>
        <v>0</v>
      </c>
    </row>
    <row r="60">
      <c r="A60" s="7"/>
      <c r="B60" s="8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>
      <c r="A61" s="35" t="s">
        <v>62</v>
      </c>
      <c r="B61" s="36">
        <f t="shared" ref="B61:B71" si="14">AH61/$AH$10</f>
        <v>0.04462093442</v>
      </c>
      <c r="C61" s="37">
        <f t="shared" ref="C61:AG61" si="13">sum(C62:C71)</f>
        <v>0</v>
      </c>
      <c r="D61" s="37">
        <f t="shared" si="13"/>
        <v>600000</v>
      </c>
      <c r="E61" s="37">
        <f t="shared" si="13"/>
        <v>58245</v>
      </c>
      <c r="F61" s="37">
        <f t="shared" si="13"/>
        <v>0</v>
      </c>
      <c r="G61" s="37">
        <f t="shared" si="13"/>
        <v>108778</v>
      </c>
      <c r="H61" s="37">
        <f t="shared" si="13"/>
        <v>47600</v>
      </c>
      <c r="I61" s="37">
        <f t="shared" si="13"/>
        <v>0</v>
      </c>
      <c r="J61" s="37">
        <f t="shared" si="13"/>
        <v>0</v>
      </c>
      <c r="K61" s="37">
        <f t="shared" si="13"/>
        <v>0</v>
      </c>
      <c r="L61" s="37">
        <f t="shared" si="13"/>
        <v>0</v>
      </c>
      <c r="M61" s="37">
        <f t="shared" si="13"/>
        <v>0</v>
      </c>
      <c r="N61" s="37">
        <f t="shared" si="13"/>
        <v>0</v>
      </c>
      <c r="O61" s="37">
        <f t="shared" si="13"/>
        <v>0</v>
      </c>
      <c r="P61" s="37">
        <f t="shared" si="13"/>
        <v>0</v>
      </c>
      <c r="Q61" s="37">
        <f t="shared" si="13"/>
        <v>0</v>
      </c>
      <c r="R61" s="37">
        <f t="shared" si="13"/>
        <v>0</v>
      </c>
      <c r="S61" s="37">
        <f t="shared" si="13"/>
        <v>0</v>
      </c>
      <c r="T61" s="37">
        <f t="shared" si="13"/>
        <v>0</v>
      </c>
      <c r="U61" s="37">
        <f t="shared" si="13"/>
        <v>120000</v>
      </c>
      <c r="V61" s="37">
        <f t="shared" si="13"/>
        <v>0</v>
      </c>
      <c r="W61" s="37">
        <f t="shared" si="13"/>
        <v>0</v>
      </c>
      <c r="X61" s="37">
        <f t="shared" si="13"/>
        <v>0</v>
      </c>
      <c r="Y61" s="37">
        <f t="shared" si="13"/>
        <v>0</v>
      </c>
      <c r="Z61" s="37">
        <f t="shared" si="13"/>
        <v>0</v>
      </c>
      <c r="AA61" s="37">
        <f t="shared" si="13"/>
        <v>0</v>
      </c>
      <c r="AB61" s="37">
        <f t="shared" si="13"/>
        <v>0</v>
      </c>
      <c r="AC61" s="37">
        <f t="shared" si="13"/>
        <v>110000</v>
      </c>
      <c r="AD61" s="37">
        <f t="shared" si="13"/>
        <v>108724</v>
      </c>
      <c r="AE61" s="37">
        <f t="shared" si="13"/>
        <v>0</v>
      </c>
      <c r="AF61" s="37">
        <f t="shared" si="13"/>
        <v>0</v>
      </c>
      <c r="AG61" s="37">
        <f t="shared" si="13"/>
        <v>600000</v>
      </c>
      <c r="AH61" s="38">
        <f>SUM(AH62:AH71)</f>
        <v>1753347</v>
      </c>
    </row>
    <row r="62">
      <c r="A62" s="16" t="s">
        <v>63</v>
      </c>
      <c r="B62" s="27">
        <f t="shared" si="14"/>
        <v>0.005535209218</v>
      </c>
      <c r="C62" s="20">
        <v>0.0</v>
      </c>
      <c r="D62" s="20">
        <v>0.0</v>
      </c>
      <c r="E62" s="20">
        <v>0.0</v>
      </c>
      <c r="F62" s="20">
        <v>0.0</v>
      </c>
      <c r="G62" s="17">
        <v>108778.0</v>
      </c>
      <c r="H62" s="20">
        <v>0.0</v>
      </c>
      <c r="I62" s="20">
        <v>0.0</v>
      </c>
      <c r="J62" s="20">
        <v>0.0</v>
      </c>
      <c r="K62" s="20">
        <v>0.0</v>
      </c>
      <c r="L62" s="20">
        <v>0.0</v>
      </c>
      <c r="M62" s="20">
        <v>0.0</v>
      </c>
      <c r="N62" s="20">
        <v>0.0</v>
      </c>
      <c r="O62" s="20">
        <v>0.0</v>
      </c>
      <c r="P62" s="20">
        <v>0.0</v>
      </c>
      <c r="Q62" s="20">
        <v>0.0</v>
      </c>
      <c r="R62" s="20">
        <v>0.0</v>
      </c>
      <c r="S62" s="20">
        <v>0.0</v>
      </c>
      <c r="T62" s="20">
        <v>0.0</v>
      </c>
      <c r="U62" s="20">
        <v>0.0</v>
      </c>
      <c r="V62" s="20">
        <v>0.0</v>
      </c>
      <c r="W62" s="20">
        <v>0.0</v>
      </c>
      <c r="X62" s="20">
        <v>0.0</v>
      </c>
      <c r="Y62" s="20">
        <v>0.0</v>
      </c>
      <c r="Z62" s="20">
        <v>0.0</v>
      </c>
      <c r="AA62" s="20">
        <v>0.0</v>
      </c>
      <c r="AB62" s="20">
        <v>0.0</v>
      </c>
      <c r="AC62" s="20">
        <v>0.0</v>
      </c>
      <c r="AD62" s="17">
        <v>108724.0</v>
      </c>
      <c r="AE62" s="20">
        <v>0.0</v>
      </c>
      <c r="AF62" s="20">
        <v>0.0</v>
      </c>
      <c r="AG62" s="20">
        <v>0.0</v>
      </c>
      <c r="AH62" s="19">
        <f t="shared" ref="AH62:AH71" si="15">SUM(C62:AG62)</f>
        <v>217502</v>
      </c>
    </row>
    <row r="63">
      <c r="A63" s="16" t="s">
        <v>64</v>
      </c>
      <c r="B63" s="27">
        <f t="shared" si="14"/>
        <v>0.001482277225</v>
      </c>
      <c r="C63" s="20">
        <v>0.0</v>
      </c>
      <c r="D63" s="20">
        <v>0.0</v>
      </c>
      <c r="E63" s="17">
        <v>58245.0</v>
      </c>
      <c r="F63" s="20">
        <v>0.0</v>
      </c>
      <c r="G63" s="20">
        <v>0.0</v>
      </c>
      <c r="H63" s="20">
        <v>0.0</v>
      </c>
      <c r="I63" s="20">
        <v>0.0</v>
      </c>
      <c r="J63" s="20">
        <v>0.0</v>
      </c>
      <c r="K63" s="20">
        <v>0.0</v>
      </c>
      <c r="L63" s="20">
        <v>0.0</v>
      </c>
      <c r="M63" s="20">
        <v>0.0</v>
      </c>
      <c r="N63" s="20">
        <v>0.0</v>
      </c>
      <c r="O63" s="20">
        <v>0.0</v>
      </c>
      <c r="P63" s="20">
        <v>0.0</v>
      </c>
      <c r="Q63" s="20">
        <v>0.0</v>
      </c>
      <c r="R63" s="20">
        <v>0.0</v>
      </c>
      <c r="S63" s="20">
        <v>0.0</v>
      </c>
      <c r="T63" s="20">
        <v>0.0</v>
      </c>
      <c r="U63" s="20">
        <v>0.0</v>
      </c>
      <c r="V63" s="20">
        <v>0.0</v>
      </c>
      <c r="W63" s="20">
        <v>0.0</v>
      </c>
      <c r="X63" s="20">
        <v>0.0</v>
      </c>
      <c r="Y63" s="20">
        <v>0.0</v>
      </c>
      <c r="Z63" s="20">
        <v>0.0</v>
      </c>
      <c r="AA63" s="20">
        <v>0.0</v>
      </c>
      <c r="AB63" s="20">
        <v>0.0</v>
      </c>
      <c r="AC63" s="20">
        <v>0.0</v>
      </c>
      <c r="AD63" s="20">
        <v>0.0</v>
      </c>
      <c r="AE63" s="20">
        <v>0.0</v>
      </c>
      <c r="AF63" s="20">
        <v>0.0</v>
      </c>
      <c r="AG63" s="20">
        <v>0.0</v>
      </c>
      <c r="AH63" s="19">
        <f t="shared" si="15"/>
        <v>58245</v>
      </c>
    </row>
    <row r="64">
      <c r="A64" s="16" t="s">
        <v>65</v>
      </c>
      <c r="B64" s="27">
        <f t="shared" si="14"/>
        <v>0.00121137258</v>
      </c>
      <c r="C64" s="20">
        <v>0.0</v>
      </c>
      <c r="D64" s="20">
        <v>0.0</v>
      </c>
      <c r="E64" s="20">
        <v>0.0</v>
      </c>
      <c r="F64" s="20">
        <v>0.0</v>
      </c>
      <c r="G64" s="20">
        <v>0.0</v>
      </c>
      <c r="H64" s="17">
        <v>47600.0</v>
      </c>
      <c r="I64" s="20">
        <v>0.0</v>
      </c>
      <c r="J64" s="20">
        <v>0.0</v>
      </c>
      <c r="K64" s="20">
        <v>0.0</v>
      </c>
      <c r="L64" s="20">
        <v>0.0</v>
      </c>
      <c r="M64" s="20">
        <v>0.0</v>
      </c>
      <c r="N64" s="20">
        <v>0.0</v>
      </c>
      <c r="O64" s="20">
        <v>0.0</v>
      </c>
      <c r="P64" s="20">
        <v>0.0</v>
      </c>
      <c r="Q64" s="20">
        <v>0.0</v>
      </c>
      <c r="R64" s="20">
        <v>0.0</v>
      </c>
      <c r="S64" s="20">
        <v>0.0</v>
      </c>
      <c r="T64" s="20">
        <v>0.0</v>
      </c>
      <c r="U64" s="20">
        <v>0.0</v>
      </c>
      <c r="V64" s="20">
        <v>0.0</v>
      </c>
      <c r="W64" s="20">
        <v>0.0</v>
      </c>
      <c r="X64" s="20">
        <v>0.0</v>
      </c>
      <c r="Y64" s="20">
        <v>0.0</v>
      </c>
      <c r="Z64" s="20">
        <v>0.0</v>
      </c>
      <c r="AA64" s="20">
        <v>0.0</v>
      </c>
      <c r="AB64" s="20">
        <v>0.0</v>
      </c>
      <c r="AC64" s="20">
        <v>0.0</v>
      </c>
      <c r="AD64" s="20">
        <v>0.0</v>
      </c>
      <c r="AE64" s="20">
        <v>0.0</v>
      </c>
      <c r="AF64" s="20">
        <v>0.0</v>
      </c>
      <c r="AG64" s="20">
        <v>0.0</v>
      </c>
      <c r="AH64" s="19">
        <f t="shared" si="15"/>
        <v>47600</v>
      </c>
    </row>
    <row r="65">
      <c r="A65" s="16" t="s">
        <v>66</v>
      </c>
      <c r="B65" s="27">
        <f t="shared" si="14"/>
        <v>0.003053880453</v>
      </c>
      <c r="C65" s="20">
        <v>0.0</v>
      </c>
      <c r="D65" s="20">
        <v>0.0</v>
      </c>
      <c r="E65" s="20">
        <v>0.0</v>
      </c>
      <c r="F65" s="20">
        <v>0.0</v>
      </c>
      <c r="G65" s="20">
        <v>0.0</v>
      </c>
      <c r="H65" s="20">
        <v>0.0</v>
      </c>
      <c r="I65" s="20">
        <v>0.0</v>
      </c>
      <c r="J65" s="20">
        <v>0.0</v>
      </c>
      <c r="K65" s="20">
        <v>0.0</v>
      </c>
      <c r="L65" s="20">
        <v>0.0</v>
      </c>
      <c r="M65" s="20">
        <v>0.0</v>
      </c>
      <c r="N65" s="20">
        <v>0.0</v>
      </c>
      <c r="O65" s="20">
        <v>0.0</v>
      </c>
      <c r="P65" s="20">
        <v>0.0</v>
      </c>
      <c r="Q65" s="20">
        <v>0.0</v>
      </c>
      <c r="R65" s="20">
        <v>0.0</v>
      </c>
      <c r="S65" s="20">
        <v>0.0</v>
      </c>
      <c r="T65" s="20">
        <v>0.0</v>
      </c>
      <c r="U65" s="17">
        <v>120000.0</v>
      </c>
      <c r="V65" s="20">
        <v>0.0</v>
      </c>
      <c r="W65" s="20">
        <v>0.0</v>
      </c>
      <c r="X65" s="20">
        <v>0.0</v>
      </c>
      <c r="Y65" s="20">
        <v>0.0</v>
      </c>
      <c r="Z65" s="20">
        <v>0.0</v>
      </c>
      <c r="AA65" s="20">
        <v>0.0</v>
      </c>
      <c r="AB65" s="20">
        <v>0.0</v>
      </c>
      <c r="AC65" s="20">
        <v>0.0</v>
      </c>
      <c r="AD65" s="20">
        <v>0.0</v>
      </c>
      <c r="AE65" s="20">
        <v>0.0</v>
      </c>
      <c r="AF65" s="20">
        <v>0.0</v>
      </c>
      <c r="AG65" s="20">
        <v>0.0</v>
      </c>
      <c r="AH65" s="19">
        <f t="shared" si="15"/>
        <v>120000</v>
      </c>
    </row>
    <row r="66">
      <c r="A66" s="16" t="s">
        <v>67</v>
      </c>
      <c r="B66" s="27">
        <f t="shared" si="14"/>
        <v>0.002799390415</v>
      </c>
      <c r="C66" s="20">
        <v>0.0</v>
      </c>
      <c r="D66" s="20">
        <v>0.0</v>
      </c>
      <c r="E66" s="20">
        <v>0.0</v>
      </c>
      <c r="F66" s="20">
        <v>0.0</v>
      </c>
      <c r="G66" s="20">
        <v>0.0</v>
      </c>
      <c r="H66" s="20">
        <v>0.0</v>
      </c>
      <c r="I66" s="20">
        <v>0.0</v>
      </c>
      <c r="J66" s="20">
        <v>0.0</v>
      </c>
      <c r="K66" s="20">
        <v>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0">
        <v>0.0</v>
      </c>
      <c r="Y66" s="20">
        <v>0.0</v>
      </c>
      <c r="Z66" s="20">
        <v>0.0</v>
      </c>
      <c r="AA66" s="20">
        <v>0.0</v>
      </c>
      <c r="AB66" s="20">
        <v>0.0</v>
      </c>
      <c r="AC66" s="17">
        <v>110000.0</v>
      </c>
      <c r="AD66" s="20">
        <v>0.0</v>
      </c>
      <c r="AE66" s="20">
        <v>0.0</v>
      </c>
      <c r="AF66" s="20">
        <v>0.0</v>
      </c>
      <c r="AG66" s="20">
        <v>0.0</v>
      </c>
      <c r="AH66" s="19">
        <f t="shared" si="15"/>
        <v>110000</v>
      </c>
    </row>
    <row r="67">
      <c r="A67" s="16" t="s">
        <v>68</v>
      </c>
      <c r="B67" s="27">
        <f t="shared" si="14"/>
        <v>0</v>
      </c>
      <c r="C67" s="20">
        <v>0.0</v>
      </c>
      <c r="D67" s="20">
        <v>0.0</v>
      </c>
      <c r="E67" s="20">
        <v>0.0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0.0</v>
      </c>
      <c r="M67" s="20">
        <v>0.0</v>
      </c>
      <c r="N67" s="20">
        <v>0.0</v>
      </c>
      <c r="O67" s="20">
        <v>0.0</v>
      </c>
      <c r="P67" s="20">
        <v>0.0</v>
      </c>
      <c r="Q67" s="20">
        <v>0.0</v>
      </c>
      <c r="R67" s="20">
        <v>0.0</v>
      </c>
      <c r="S67" s="20">
        <v>0.0</v>
      </c>
      <c r="T67" s="20">
        <v>0.0</v>
      </c>
      <c r="U67" s="20">
        <v>0.0</v>
      </c>
      <c r="V67" s="20">
        <v>0.0</v>
      </c>
      <c r="W67" s="20">
        <v>0.0</v>
      </c>
      <c r="X67" s="20">
        <v>0.0</v>
      </c>
      <c r="Y67" s="20">
        <v>0.0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0.0</v>
      </c>
      <c r="AF67" s="20">
        <v>0.0</v>
      </c>
      <c r="AG67" s="20">
        <v>0.0</v>
      </c>
      <c r="AH67" s="19">
        <f t="shared" si="15"/>
        <v>0</v>
      </c>
    </row>
    <row r="68">
      <c r="A68" s="16" t="s">
        <v>69</v>
      </c>
      <c r="B68" s="27">
        <f t="shared" si="14"/>
        <v>0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20">
        <v>0.0</v>
      </c>
      <c r="L68" s="20">
        <v>0.0</v>
      </c>
      <c r="M68" s="20">
        <v>0.0</v>
      </c>
      <c r="N68" s="20">
        <v>0.0</v>
      </c>
      <c r="O68" s="20">
        <v>0.0</v>
      </c>
      <c r="P68" s="20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0.0</v>
      </c>
      <c r="V68" s="20">
        <v>0.0</v>
      </c>
      <c r="W68" s="20">
        <v>0.0</v>
      </c>
      <c r="X68" s="20">
        <v>0.0</v>
      </c>
      <c r="Y68" s="20">
        <v>0.0</v>
      </c>
      <c r="Z68" s="20">
        <v>0.0</v>
      </c>
      <c r="AA68" s="20">
        <v>0.0</v>
      </c>
      <c r="AB68" s="20">
        <v>0.0</v>
      </c>
      <c r="AC68" s="20">
        <v>0.0</v>
      </c>
      <c r="AD68" s="20">
        <v>0.0</v>
      </c>
      <c r="AE68" s="20">
        <v>0.0</v>
      </c>
      <c r="AF68" s="20">
        <v>0.0</v>
      </c>
      <c r="AG68" s="20">
        <v>0.0</v>
      </c>
      <c r="AH68" s="19">
        <f t="shared" si="15"/>
        <v>0</v>
      </c>
    </row>
    <row r="69">
      <c r="A69" s="16" t="s">
        <v>70</v>
      </c>
      <c r="B69" s="27">
        <f t="shared" si="14"/>
        <v>0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v>0.0</v>
      </c>
      <c r="L69" s="20">
        <v>0.0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20">
        <v>0.0</v>
      </c>
      <c r="W69" s="20">
        <v>0.0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20">
        <v>0.0</v>
      </c>
      <c r="AF69" s="20">
        <v>0.0</v>
      </c>
      <c r="AG69" s="20">
        <v>0.0</v>
      </c>
      <c r="AH69" s="19">
        <f t="shared" si="15"/>
        <v>0</v>
      </c>
    </row>
    <row r="70">
      <c r="A70" s="16" t="s">
        <v>71</v>
      </c>
      <c r="B70" s="27">
        <f t="shared" si="14"/>
        <v>0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20">
        <v>0.0</v>
      </c>
      <c r="AC70" s="20">
        <v>0.0</v>
      </c>
      <c r="AD70" s="20">
        <v>0.0</v>
      </c>
      <c r="AE70" s="20">
        <v>0.0</v>
      </c>
      <c r="AF70" s="20">
        <v>0.0</v>
      </c>
      <c r="AG70" s="20">
        <v>0.0</v>
      </c>
      <c r="AH70" s="19">
        <f t="shared" si="15"/>
        <v>0</v>
      </c>
    </row>
    <row r="71">
      <c r="A71" s="7" t="s">
        <v>72</v>
      </c>
      <c r="B71" s="27">
        <f t="shared" si="14"/>
        <v>0.03053880453</v>
      </c>
      <c r="C71" s="20">
        <v>0.0</v>
      </c>
      <c r="D71" s="17">
        <v>600000.0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0.0</v>
      </c>
      <c r="K71" s="20">
        <v>0.0</v>
      </c>
      <c r="L71" s="20">
        <v>0.0</v>
      </c>
      <c r="M71" s="20">
        <v>0.0</v>
      </c>
      <c r="N71" s="20">
        <v>0.0</v>
      </c>
      <c r="O71" s="20">
        <v>0.0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20">
        <v>0.0</v>
      </c>
      <c r="AF71" s="20">
        <v>0.0</v>
      </c>
      <c r="AG71" s="17">
        <v>600000.0</v>
      </c>
      <c r="AH71" s="19">
        <f t="shared" si="15"/>
        <v>1200000</v>
      </c>
    </row>
    <row r="72">
      <c r="A72" s="7"/>
      <c r="B72" s="8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>
      <c r="A73" s="40" t="s">
        <v>74</v>
      </c>
      <c r="B73" s="32">
        <f t="shared" ref="B73:B76" si="17">AH73/$AH$10</f>
        <v>0</v>
      </c>
      <c r="C73" s="41">
        <f t="shared" ref="C73:AH73" si="16">sum(C74:C76)</f>
        <v>0</v>
      </c>
      <c r="D73" s="41">
        <f t="shared" si="16"/>
        <v>0</v>
      </c>
      <c r="E73" s="41">
        <f t="shared" si="16"/>
        <v>0</v>
      </c>
      <c r="F73" s="41">
        <f t="shared" si="16"/>
        <v>0</v>
      </c>
      <c r="G73" s="41">
        <f t="shared" si="16"/>
        <v>0</v>
      </c>
      <c r="H73" s="41">
        <f t="shared" si="16"/>
        <v>0</v>
      </c>
      <c r="I73" s="41">
        <f t="shared" si="16"/>
        <v>0</v>
      </c>
      <c r="J73" s="41">
        <f t="shared" si="16"/>
        <v>0</v>
      </c>
      <c r="K73" s="41">
        <f t="shared" si="16"/>
        <v>0</v>
      </c>
      <c r="L73" s="41">
        <f t="shared" si="16"/>
        <v>0</v>
      </c>
      <c r="M73" s="41">
        <f t="shared" si="16"/>
        <v>0</v>
      </c>
      <c r="N73" s="41">
        <f t="shared" si="16"/>
        <v>0</v>
      </c>
      <c r="O73" s="41">
        <f t="shared" si="16"/>
        <v>0</v>
      </c>
      <c r="P73" s="41">
        <f t="shared" si="16"/>
        <v>0</v>
      </c>
      <c r="Q73" s="41">
        <f t="shared" si="16"/>
        <v>0</v>
      </c>
      <c r="R73" s="41">
        <f t="shared" si="16"/>
        <v>0</v>
      </c>
      <c r="S73" s="41">
        <f t="shared" si="16"/>
        <v>0</v>
      </c>
      <c r="T73" s="41">
        <f t="shared" si="16"/>
        <v>0</v>
      </c>
      <c r="U73" s="41">
        <f t="shared" si="16"/>
        <v>0</v>
      </c>
      <c r="V73" s="41">
        <f t="shared" si="16"/>
        <v>0</v>
      </c>
      <c r="W73" s="41">
        <f t="shared" si="16"/>
        <v>0</v>
      </c>
      <c r="X73" s="41">
        <f t="shared" si="16"/>
        <v>0</v>
      </c>
      <c r="Y73" s="41">
        <f t="shared" si="16"/>
        <v>0</v>
      </c>
      <c r="Z73" s="41">
        <f t="shared" si="16"/>
        <v>0</v>
      </c>
      <c r="AA73" s="41">
        <f t="shared" si="16"/>
        <v>0</v>
      </c>
      <c r="AB73" s="41">
        <f t="shared" si="16"/>
        <v>0</v>
      </c>
      <c r="AC73" s="41">
        <f t="shared" si="16"/>
        <v>0</v>
      </c>
      <c r="AD73" s="41">
        <f t="shared" si="16"/>
        <v>0</v>
      </c>
      <c r="AE73" s="41">
        <f t="shared" si="16"/>
        <v>0</v>
      </c>
      <c r="AF73" s="41">
        <f t="shared" si="16"/>
        <v>0</v>
      </c>
      <c r="AG73" s="41">
        <f t="shared" si="16"/>
        <v>0</v>
      </c>
      <c r="AH73" s="34">
        <f t="shared" si="16"/>
        <v>0</v>
      </c>
    </row>
    <row r="74">
      <c r="A74" s="16" t="s">
        <v>75</v>
      </c>
      <c r="B74" s="27">
        <f t="shared" si="17"/>
        <v>0</v>
      </c>
      <c r="C74" s="20">
        <v>0.0</v>
      </c>
      <c r="D74" s="20">
        <v>0.0</v>
      </c>
      <c r="E74" s="20">
        <v>0.0</v>
      </c>
      <c r="F74" s="20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0">
        <v>0.0</v>
      </c>
      <c r="M74" s="20">
        <v>0.0</v>
      </c>
      <c r="N74" s="20">
        <v>0.0</v>
      </c>
      <c r="O74" s="20">
        <v>0.0</v>
      </c>
      <c r="P74" s="20">
        <v>0.0</v>
      </c>
      <c r="Q74" s="20">
        <v>0.0</v>
      </c>
      <c r="R74" s="20">
        <v>0.0</v>
      </c>
      <c r="S74" s="20">
        <v>0.0</v>
      </c>
      <c r="T74" s="20">
        <v>0.0</v>
      </c>
      <c r="U74" s="20">
        <v>0.0</v>
      </c>
      <c r="V74" s="20">
        <v>0.0</v>
      </c>
      <c r="W74" s="20">
        <v>0.0</v>
      </c>
      <c r="X74" s="20">
        <v>0.0</v>
      </c>
      <c r="Y74" s="20">
        <v>0.0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20">
        <v>0.0</v>
      </c>
      <c r="AF74" s="20">
        <v>0.0</v>
      </c>
      <c r="AG74" s="20">
        <v>0.0</v>
      </c>
      <c r="AH74" s="19">
        <f t="shared" ref="AH74:AH76" si="18">SUM(C74:AG74)</f>
        <v>0</v>
      </c>
    </row>
    <row r="75">
      <c r="A75" s="16" t="s">
        <v>76</v>
      </c>
      <c r="B75" s="27">
        <f t="shared" si="17"/>
        <v>0</v>
      </c>
      <c r="C75" s="20">
        <v>0.0</v>
      </c>
      <c r="D75" s="20">
        <v>0.0</v>
      </c>
      <c r="E75" s="20">
        <v>0.0</v>
      </c>
      <c r="F75" s="20">
        <v>0.0</v>
      </c>
      <c r="G75" s="20">
        <v>0.0</v>
      </c>
      <c r="H75" s="20">
        <v>0.0</v>
      </c>
      <c r="I75" s="20">
        <v>0.0</v>
      </c>
      <c r="J75" s="20">
        <v>0.0</v>
      </c>
      <c r="K75" s="20">
        <v>0.0</v>
      </c>
      <c r="L75" s="20">
        <v>0.0</v>
      </c>
      <c r="M75" s="20">
        <v>0.0</v>
      </c>
      <c r="N75" s="20">
        <v>0.0</v>
      </c>
      <c r="O75" s="20">
        <v>0.0</v>
      </c>
      <c r="P75" s="20">
        <v>0.0</v>
      </c>
      <c r="Q75" s="20">
        <v>0.0</v>
      </c>
      <c r="R75" s="20">
        <v>0.0</v>
      </c>
      <c r="S75" s="20">
        <v>0.0</v>
      </c>
      <c r="T75" s="20">
        <v>0.0</v>
      </c>
      <c r="U75" s="20">
        <v>0.0</v>
      </c>
      <c r="V75" s="20">
        <v>0.0</v>
      </c>
      <c r="W75" s="20">
        <v>0.0</v>
      </c>
      <c r="X75" s="20">
        <v>0.0</v>
      </c>
      <c r="Y75" s="20">
        <v>0.0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20">
        <v>0.0</v>
      </c>
      <c r="AF75" s="20">
        <v>0.0</v>
      </c>
      <c r="AG75" s="20">
        <v>0.0</v>
      </c>
      <c r="AH75" s="19">
        <f t="shared" si="18"/>
        <v>0</v>
      </c>
    </row>
    <row r="76">
      <c r="A76" s="16" t="s">
        <v>77</v>
      </c>
      <c r="B76" s="27">
        <f t="shared" si="17"/>
        <v>0</v>
      </c>
      <c r="C76" s="20">
        <v>0.0</v>
      </c>
      <c r="D76" s="20">
        <v>0.0</v>
      </c>
      <c r="E76" s="20">
        <v>0.0</v>
      </c>
      <c r="F76" s="20">
        <v>0.0</v>
      </c>
      <c r="G76" s="20">
        <v>0.0</v>
      </c>
      <c r="H76" s="20">
        <v>0.0</v>
      </c>
      <c r="I76" s="20">
        <v>0.0</v>
      </c>
      <c r="J76" s="20">
        <v>0.0</v>
      </c>
      <c r="K76" s="20">
        <v>0.0</v>
      </c>
      <c r="L76" s="20">
        <v>0.0</v>
      </c>
      <c r="M76" s="20">
        <v>0.0</v>
      </c>
      <c r="N76" s="20">
        <v>0.0</v>
      </c>
      <c r="O76" s="20">
        <v>0.0</v>
      </c>
      <c r="P76" s="20">
        <v>0.0</v>
      </c>
      <c r="Q76" s="20">
        <v>0.0</v>
      </c>
      <c r="R76" s="20">
        <v>0.0</v>
      </c>
      <c r="S76" s="20">
        <v>0.0</v>
      </c>
      <c r="T76" s="20">
        <v>0.0</v>
      </c>
      <c r="U76" s="20">
        <v>0.0</v>
      </c>
      <c r="V76" s="20">
        <v>0.0</v>
      </c>
      <c r="W76" s="20">
        <v>0.0</v>
      </c>
      <c r="X76" s="20">
        <v>0.0</v>
      </c>
      <c r="Y76" s="20">
        <v>0.0</v>
      </c>
      <c r="Z76" s="20">
        <v>0.0</v>
      </c>
      <c r="AA76" s="20">
        <v>0.0</v>
      </c>
      <c r="AB76" s="20">
        <v>0.0</v>
      </c>
      <c r="AC76" s="20">
        <v>0.0</v>
      </c>
      <c r="AD76" s="20">
        <v>0.0</v>
      </c>
      <c r="AE76" s="20">
        <v>0.0</v>
      </c>
      <c r="AF76" s="20">
        <v>0.0</v>
      </c>
      <c r="AG76" s="20">
        <v>0.0</v>
      </c>
      <c r="AH76" s="19">
        <f t="shared" si="18"/>
        <v>0</v>
      </c>
    </row>
    <row r="77">
      <c r="A77" s="7"/>
      <c r="B77" s="8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42" t="s">
        <v>79</v>
      </c>
      <c r="B78" s="43">
        <f t="shared" ref="B78:B82" si="20">AH78/$AH$10</f>
        <v>0.1629685489</v>
      </c>
      <c r="C78" s="44">
        <f t="shared" ref="C78:AH78" si="19">sum(C79:C82)</f>
        <v>0</v>
      </c>
      <c r="D78" s="44">
        <f t="shared" si="19"/>
        <v>300163</v>
      </c>
      <c r="E78" s="44">
        <f t="shared" si="19"/>
        <v>0</v>
      </c>
      <c r="F78" s="44">
        <f t="shared" si="19"/>
        <v>0</v>
      </c>
      <c r="G78" s="44">
        <f t="shared" si="19"/>
        <v>2372852</v>
      </c>
      <c r="H78" s="44">
        <f t="shared" si="19"/>
        <v>0</v>
      </c>
      <c r="I78" s="44">
        <f t="shared" si="19"/>
        <v>0</v>
      </c>
      <c r="J78" s="44">
        <f t="shared" si="19"/>
        <v>395162</v>
      </c>
      <c r="K78" s="44">
        <f t="shared" si="19"/>
        <v>0</v>
      </c>
      <c r="L78" s="44">
        <f t="shared" si="19"/>
        <v>0</v>
      </c>
      <c r="M78" s="44">
        <f t="shared" si="19"/>
        <v>0</v>
      </c>
      <c r="N78" s="44">
        <f t="shared" si="19"/>
        <v>932066</v>
      </c>
      <c r="O78" s="44">
        <f t="shared" si="19"/>
        <v>198600</v>
      </c>
      <c r="P78" s="44">
        <f t="shared" si="19"/>
        <v>291414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607416</v>
      </c>
      <c r="V78" s="44">
        <f t="shared" si="19"/>
        <v>189700</v>
      </c>
      <c r="W78" s="44">
        <f t="shared" si="19"/>
        <v>0</v>
      </c>
      <c r="X78" s="44">
        <f t="shared" si="19"/>
        <v>0</v>
      </c>
      <c r="Y78" s="44">
        <f t="shared" si="19"/>
        <v>242454</v>
      </c>
      <c r="Z78" s="44">
        <f t="shared" si="19"/>
        <v>0</v>
      </c>
      <c r="AA78" s="44">
        <f t="shared" si="19"/>
        <v>0</v>
      </c>
      <c r="AB78" s="44">
        <f t="shared" si="19"/>
        <v>467477</v>
      </c>
      <c r="AC78" s="44">
        <f t="shared" si="19"/>
        <v>406426</v>
      </c>
      <c r="AD78" s="44">
        <f t="shared" si="19"/>
        <v>0</v>
      </c>
      <c r="AE78" s="44">
        <f t="shared" si="19"/>
        <v>0</v>
      </c>
      <c r="AF78" s="44">
        <f t="shared" si="19"/>
        <v>0</v>
      </c>
      <c r="AG78" s="44">
        <f t="shared" si="19"/>
        <v>0</v>
      </c>
      <c r="AH78" s="45">
        <f t="shared" si="19"/>
        <v>6403730</v>
      </c>
    </row>
    <row r="79">
      <c r="A79" s="16" t="s">
        <v>80</v>
      </c>
      <c r="B79" s="27">
        <f t="shared" si="20"/>
        <v>0.03676411438</v>
      </c>
      <c r="C79" s="20">
        <v>0.0</v>
      </c>
      <c r="D79" s="17">
        <v>300163.0</v>
      </c>
      <c r="E79" s="20">
        <v>0.0</v>
      </c>
      <c r="F79" s="20">
        <v>0.0</v>
      </c>
      <c r="G79" s="20">
        <v>0.0</v>
      </c>
      <c r="H79" s="20">
        <v>0.0</v>
      </c>
      <c r="I79" s="20">
        <v>0.0</v>
      </c>
      <c r="J79" s="17">
        <v>395162.0</v>
      </c>
      <c r="K79" s="20">
        <v>0.0</v>
      </c>
      <c r="L79" s="20">
        <v>0.0</v>
      </c>
      <c r="M79" s="20">
        <v>0.0</v>
      </c>
      <c r="N79" s="20">
        <v>0.0</v>
      </c>
      <c r="O79" s="20">
        <v>0.0</v>
      </c>
      <c r="P79" s="17">
        <v>291414.0</v>
      </c>
      <c r="Q79" s="20">
        <v>0.0</v>
      </c>
      <c r="R79" s="20">
        <v>0.0</v>
      </c>
      <c r="S79" s="20">
        <v>0.0</v>
      </c>
      <c r="T79" s="20">
        <v>0.0</v>
      </c>
      <c r="U79" s="20">
        <v>0.0</v>
      </c>
      <c r="V79" s="20">
        <v>0.0</v>
      </c>
      <c r="W79" s="20">
        <v>0.0</v>
      </c>
      <c r="X79" s="20">
        <v>0.0</v>
      </c>
      <c r="Y79" s="17">
        <v>242454.0</v>
      </c>
      <c r="Z79" s="20">
        <v>0.0</v>
      </c>
      <c r="AA79" s="20">
        <v>0.0</v>
      </c>
      <c r="AB79" s="20">
        <v>0.0</v>
      </c>
      <c r="AC79" s="17">
        <v>215426.0</v>
      </c>
      <c r="AD79" s="20">
        <v>0.0</v>
      </c>
      <c r="AE79" s="20">
        <v>0.0</v>
      </c>
      <c r="AF79" s="20">
        <v>0.0</v>
      </c>
      <c r="AG79" s="20">
        <v>0.0</v>
      </c>
      <c r="AH79" s="19">
        <f t="shared" ref="AH79:AH82" si="21">SUM(C79:AG79)</f>
        <v>1444619</v>
      </c>
    </row>
    <row r="80">
      <c r="A80" s="16" t="s">
        <v>81</v>
      </c>
      <c r="B80" s="27">
        <f t="shared" si="20"/>
        <v>0</v>
      </c>
      <c r="C80" s="20">
        <v>0.0</v>
      </c>
      <c r="D80" s="20">
        <v>0.0</v>
      </c>
      <c r="E80" s="20">
        <v>0.0</v>
      </c>
      <c r="F80" s="20">
        <v>0.0</v>
      </c>
      <c r="G80" s="20">
        <v>0.0</v>
      </c>
      <c r="H80" s="20">
        <v>0.0</v>
      </c>
      <c r="I80" s="20">
        <v>0.0</v>
      </c>
      <c r="J80" s="20">
        <v>0.0</v>
      </c>
      <c r="K80" s="20">
        <v>0.0</v>
      </c>
      <c r="L80" s="20">
        <v>0.0</v>
      </c>
      <c r="M80" s="20">
        <v>0.0</v>
      </c>
      <c r="N80" s="20">
        <v>0.0</v>
      </c>
      <c r="O80" s="20">
        <v>0.0</v>
      </c>
      <c r="P80" s="20">
        <v>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  <c r="V80" s="20">
        <v>0.0</v>
      </c>
      <c r="W80" s="20">
        <v>0.0</v>
      </c>
      <c r="X80" s="20">
        <v>0.0</v>
      </c>
      <c r="Y80" s="20">
        <v>0.0</v>
      </c>
      <c r="Z80" s="20">
        <v>0.0</v>
      </c>
      <c r="AA80" s="20">
        <v>0.0</v>
      </c>
      <c r="AB80" s="20">
        <v>0.0</v>
      </c>
      <c r="AC80" s="20">
        <v>0.0</v>
      </c>
      <c r="AD80" s="20">
        <v>0.0</v>
      </c>
      <c r="AE80" s="20">
        <v>0.0</v>
      </c>
      <c r="AF80" s="20">
        <v>0.0</v>
      </c>
      <c r="AG80" s="20">
        <v>0.0</v>
      </c>
      <c r="AH80" s="19">
        <f t="shared" si="21"/>
        <v>0</v>
      </c>
    </row>
    <row r="81">
      <c r="A81" s="16" t="s">
        <v>82</v>
      </c>
      <c r="B81" s="27">
        <f t="shared" si="20"/>
        <v>0.01840853688</v>
      </c>
      <c r="C81" s="20">
        <v>0.0</v>
      </c>
      <c r="D81" s="20">
        <v>0.0</v>
      </c>
      <c r="E81" s="20">
        <v>0.0</v>
      </c>
      <c r="F81" s="20">
        <v>0.0</v>
      </c>
      <c r="G81" s="17">
        <v>144050.0</v>
      </c>
      <c r="H81" s="20">
        <v>0.0</v>
      </c>
      <c r="I81" s="20">
        <v>0.0</v>
      </c>
      <c r="J81" s="20">
        <v>0.0</v>
      </c>
      <c r="K81" s="20">
        <v>0.0</v>
      </c>
      <c r="L81" s="20">
        <v>0.0</v>
      </c>
      <c r="M81" s="20">
        <v>0.0</v>
      </c>
      <c r="N81" s="20">
        <v>0.0</v>
      </c>
      <c r="O81" s="17">
        <v>198600.0</v>
      </c>
      <c r="P81" s="20">
        <v>0.0</v>
      </c>
      <c r="Q81" s="20">
        <v>0.0</v>
      </c>
      <c r="R81" s="20">
        <v>0.0</v>
      </c>
      <c r="S81" s="20">
        <v>0.0</v>
      </c>
      <c r="T81" s="20">
        <v>0.0</v>
      </c>
      <c r="U81" s="20">
        <v>0.0</v>
      </c>
      <c r="V81" s="17">
        <v>189700.0</v>
      </c>
      <c r="W81" s="20">
        <v>0.0</v>
      </c>
      <c r="X81" s="20">
        <v>0.0</v>
      </c>
      <c r="Y81" s="20">
        <v>0.0</v>
      </c>
      <c r="Z81" s="20">
        <v>0.0</v>
      </c>
      <c r="AA81" s="20">
        <v>0.0</v>
      </c>
      <c r="AB81" s="20">
        <v>0.0</v>
      </c>
      <c r="AC81" s="17">
        <v>191000.0</v>
      </c>
      <c r="AD81" s="20">
        <v>0.0</v>
      </c>
      <c r="AE81" s="20">
        <v>0.0</v>
      </c>
      <c r="AF81" s="20">
        <v>0.0</v>
      </c>
      <c r="AG81" s="20">
        <v>0.0</v>
      </c>
      <c r="AH81" s="19">
        <f t="shared" si="21"/>
        <v>723350</v>
      </c>
    </row>
    <row r="82">
      <c r="A82" s="16" t="s">
        <v>83</v>
      </c>
      <c r="B82" s="27">
        <f t="shared" si="20"/>
        <v>0.1077958977</v>
      </c>
      <c r="C82" s="20">
        <v>0.0</v>
      </c>
      <c r="D82" s="20">
        <v>0.0</v>
      </c>
      <c r="E82" s="20">
        <v>0.0</v>
      </c>
      <c r="F82" s="20">
        <v>0.0</v>
      </c>
      <c r="G82" s="17">
        <v>2228802.0</v>
      </c>
      <c r="H82" s="20">
        <v>0.0</v>
      </c>
      <c r="I82" s="20">
        <v>0.0</v>
      </c>
      <c r="J82" s="20">
        <v>0.0</v>
      </c>
      <c r="K82" s="20">
        <v>0.0</v>
      </c>
      <c r="L82" s="20">
        <v>0.0</v>
      </c>
      <c r="M82" s="20">
        <v>0.0</v>
      </c>
      <c r="N82" s="17">
        <v>932066.0</v>
      </c>
      <c r="O82" s="20">
        <v>0.0</v>
      </c>
      <c r="P82" s="20">
        <v>0.0</v>
      </c>
      <c r="Q82" s="20">
        <v>0.0</v>
      </c>
      <c r="R82" s="20">
        <v>0.0</v>
      </c>
      <c r="S82" s="20">
        <v>0.0</v>
      </c>
      <c r="T82" s="20">
        <v>0.0</v>
      </c>
      <c r="U82" s="17">
        <v>607416.0</v>
      </c>
      <c r="V82" s="20">
        <v>0.0</v>
      </c>
      <c r="W82" s="20">
        <v>0.0</v>
      </c>
      <c r="X82" s="20">
        <v>0.0</v>
      </c>
      <c r="Y82" s="20">
        <v>0.0</v>
      </c>
      <c r="Z82" s="20">
        <v>0.0</v>
      </c>
      <c r="AA82" s="20">
        <v>0.0</v>
      </c>
      <c r="AB82" s="17">
        <v>467477.0</v>
      </c>
      <c r="AC82" s="20">
        <v>0.0</v>
      </c>
      <c r="AD82" s="20">
        <v>0.0</v>
      </c>
      <c r="AE82" s="20">
        <v>0.0</v>
      </c>
      <c r="AF82" s="20">
        <v>0.0</v>
      </c>
      <c r="AG82" s="20">
        <v>0.0</v>
      </c>
      <c r="AH82" s="19">
        <f t="shared" si="21"/>
        <v>4235761</v>
      </c>
    </row>
    <row r="83">
      <c r="A83" s="7"/>
      <c r="B83" s="8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47" t="s">
        <v>84</v>
      </c>
      <c r="B84" s="48">
        <f t="shared" ref="B84:B93" si="23">AH84/$AH$10</f>
        <v>0.256369014</v>
      </c>
      <c r="C84" s="49">
        <f t="shared" ref="C84:AG84" si="22">sum(C85:C93)</f>
        <v>0</v>
      </c>
      <c r="D84" s="49">
        <f t="shared" si="22"/>
        <v>56603</v>
      </c>
      <c r="E84" s="49">
        <f t="shared" si="22"/>
        <v>0</v>
      </c>
      <c r="F84" s="49">
        <f t="shared" si="22"/>
        <v>0</v>
      </c>
      <c r="G84" s="49">
        <f t="shared" si="22"/>
        <v>52000</v>
      </c>
      <c r="H84" s="49">
        <f t="shared" si="22"/>
        <v>0</v>
      </c>
      <c r="I84" s="49">
        <f t="shared" si="22"/>
        <v>0</v>
      </c>
      <c r="J84" s="49">
        <f t="shared" si="22"/>
        <v>0</v>
      </c>
      <c r="K84" s="49">
        <f t="shared" si="22"/>
        <v>20000</v>
      </c>
      <c r="L84" s="49">
        <f t="shared" si="22"/>
        <v>485810</v>
      </c>
      <c r="M84" s="49">
        <f t="shared" si="22"/>
        <v>1923046</v>
      </c>
      <c r="N84" s="49">
        <f t="shared" si="22"/>
        <v>20000</v>
      </c>
      <c r="O84" s="49">
        <f t="shared" si="22"/>
        <v>57548</v>
      </c>
      <c r="P84" s="49">
        <f t="shared" si="22"/>
        <v>0</v>
      </c>
      <c r="Q84" s="49">
        <f t="shared" si="22"/>
        <v>1218548</v>
      </c>
      <c r="R84" s="49">
        <f t="shared" si="22"/>
        <v>0</v>
      </c>
      <c r="S84" s="49">
        <f t="shared" si="22"/>
        <v>0</v>
      </c>
      <c r="T84" s="49">
        <f t="shared" si="22"/>
        <v>0</v>
      </c>
      <c r="U84" s="49">
        <f t="shared" si="22"/>
        <v>20000</v>
      </c>
      <c r="V84" s="49">
        <f t="shared" si="22"/>
        <v>131090</v>
      </c>
      <c r="W84" s="49">
        <f t="shared" si="22"/>
        <v>0</v>
      </c>
      <c r="X84" s="49">
        <f t="shared" si="22"/>
        <v>134308</v>
      </c>
      <c r="Y84" s="49">
        <f t="shared" si="22"/>
        <v>0</v>
      </c>
      <c r="Z84" s="49">
        <f t="shared" si="22"/>
        <v>20000</v>
      </c>
      <c r="AA84" s="49">
        <f t="shared" si="22"/>
        <v>23799</v>
      </c>
      <c r="AB84" s="49">
        <f t="shared" si="22"/>
        <v>20000</v>
      </c>
      <c r="AC84" s="49">
        <f t="shared" si="22"/>
        <v>60000</v>
      </c>
      <c r="AD84" s="49">
        <f t="shared" si="22"/>
        <v>0</v>
      </c>
      <c r="AE84" s="49">
        <f t="shared" si="22"/>
        <v>11585</v>
      </c>
      <c r="AF84" s="49">
        <f t="shared" si="22"/>
        <v>0</v>
      </c>
      <c r="AG84" s="49">
        <f t="shared" si="22"/>
        <v>5819496</v>
      </c>
      <c r="AH84" s="50">
        <f>SUM(AH85:AH93)</f>
        <v>10073833</v>
      </c>
    </row>
    <row r="85">
      <c r="A85" s="16" t="s">
        <v>85</v>
      </c>
      <c r="B85" s="27">
        <f t="shared" si="23"/>
        <v>0</v>
      </c>
      <c r="C85" s="20">
        <v>0.0</v>
      </c>
      <c r="D85" s="20">
        <v>0.0</v>
      </c>
      <c r="E85" s="20">
        <v>0.0</v>
      </c>
      <c r="F85" s="20">
        <v>0.0</v>
      </c>
      <c r="G85" s="20">
        <v>0.0</v>
      </c>
      <c r="H85" s="20">
        <v>0.0</v>
      </c>
      <c r="I85" s="20">
        <v>0.0</v>
      </c>
      <c r="J85" s="20">
        <v>0.0</v>
      </c>
      <c r="K85" s="20">
        <v>0.0</v>
      </c>
      <c r="L85" s="20">
        <v>0.0</v>
      </c>
      <c r="M85" s="20">
        <v>0.0</v>
      </c>
      <c r="N85" s="20">
        <v>0.0</v>
      </c>
      <c r="O85" s="20">
        <v>0.0</v>
      </c>
      <c r="P85" s="20">
        <v>0.0</v>
      </c>
      <c r="Q85" s="20">
        <v>0.0</v>
      </c>
      <c r="R85" s="20">
        <v>0.0</v>
      </c>
      <c r="S85" s="20">
        <v>0.0</v>
      </c>
      <c r="T85" s="20">
        <v>0.0</v>
      </c>
      <c r="U85" s="20">
        <v>0.0</v>
      </c>
      <c r="V85" s="20">
        <v>0.0</v>
      </c>
      <c r="W85" s="20">
        <v>0.0</v>
      </c>
      <c r="X85" s="20">
        <v>0.0</v>
      </c>
      <c r="Y85" s="20">
        <v>0.0</v>
      </c>
      <c r="Z85" s="20">
        <v>0.0</v>
      </c>
      <c r="AA85" s="20">
        <v>0.0</v>
      </c>
      <c r="AB85" s="20">
        <v>0.0</v>
      </c>
      <c r="AC85" s="20">
        <v>0.0</v>
      </c>
      <c r="AD85" s="20">
        <v>0.0</v>
      </c>
      <c r="AE85" s="20">
        <v>0.0</v>
      </c>
      <c r="AF85" s="20">
        <v>0.0</v>
      </c>
      <c r="AG85" s="20">
        <v>0.0</v>
      </c>
      <c r="AH85" s="19">
        <f t="shared" ref="AH85:AH93" si="24">SUM(C85:AG85)</f>
        <v>0</v>
      </c>
    </row>
    <row r="86">
      <c r="A86" s="16" t="s">
        <v>86</v>
      </c>
      <c r="B86" s="27">
        <f t="shared" si="23"/>
        <v>0.1963468515</v>
      </c>
      <c r="C86" s="20">
        <v>0.0</v>
      </c>
      <c r="D86" s="20">
        <v>0.0</v>
      </c>
      <c r="E86" s="20">
        <v>0.0</v>
      </c>
      <c r="F86" s="20">
        <v>0.0</v>
      </c>
      <c r="G86" s="17">
        <f>32000+20000</f>
        <v>52000</v>
      </c>
      <c r="H86" s="20">
        <v>0.0</v>
      </c>
      <c r="I86" s="20">
        <v>0.0</v>
      </c>
      <c r="J86" s="20">
        <v>0.0</v>
      </c>
      <c r="K86" s="20">
        <v>0.0</v>
      </c>
      <c r="L86" s="17">
        <v>485810.0</v>
      </c>
      <c r="M86" s="20">
        <v>0.0</v>
      </c>
      <c r="N86" s="20">
        <v>0.0</v>
      </c>
      <c r="O86" s="17">
        <v>48000.0</v>
      </c>
      <c r="P86" s="20">
        <v>0.0</v>
      </c>
      <c r="Q86" s="20">
        <f>270000+270000+250000+100000+150000+170000</f>
        <v>1210000</v>
      </c>
      <c r="R86" s="20">
        <v>0.0</v>
      </c>
      <c r="S86" s="20">
        <v>0.0</v>
      </c>
      <c r="T86" s="20">
        <v>0.0</v>
      </c>
      <c r="U86" s="20">
        <v>0.0</v>
      </c>
      <c r="V86" s="17">
        <v>40000.0</v>
      </c>
      <c r="W86" s="20">
        <v>0.0</v>
      </c>
      <c r="X86" s="20">
        <v>0.0</v>
      </c>
      <c r="Y86" s="20">
        <v>0.0</v>
      </c>
      <c r="Z86" s="20">
        <v>0.0</v>
      </c>
      <c r="AA86" s="20">
        <v>0.0</v>
      </c>
      <c r="AB86" s="20">
        <v>0.0</v>
      </c>
      <c r="AC86" s="17">
        <f>40000+20000</f>
        <v>60000</v>
      </c>
      <c r="AD86" s="20">
        <v>0.0</v>
      </c>
      <c r="AE86" s="20">
        <v>0.0</v>
      </c>
      <c r="AF86" s="20">
        <v>0.0</v>
      </c>
      <c r="AG86" s="20">
        <f>3591093+424396+294007+580000+1000000+530000-600000</f>
        <v>5819496</v>
      </c>
      <c r="AH86" s="19">
        <f t="shared" si="24"/>
        <v>7715306</v>
      </c>
    </row>
    <row r="87">
      <c r="A87" s="16" t="s">
        <v>87</v>
      </c>
      <c r="B87" s="27">
        <f t="shared" si="23"/>
        <v>0.001120468738</v>
      </c>
      <c r="C87" s="20">
        <v>0.0</v>
      </c>
      <c r="D87" s="20">
        <v>0.0</v>
      </c>
      <c r="E87" s="20">
        <v>0.0</v>
      </c>
      <c r="F87" s="20">
        <v>0.0</v>
      </c>
      <c r="G87" s="20">
        <v>0.0</v>
      </c>
      <c r="H87" s="20">
        <v>0.0</v>
      </c>
      <c r="I87" s="20">
        <v>0.0</v>
      </c>
      <c r="J87" s="20">
        <v>0.0</v>
      </c>
      <c r="K87" s="20">
        <v>0.0</v>
      </c>
      <c r="L87" s="20">
        <v>0.0</v>
      </c>
      <c r="M87" s="20">
        <v>0.0</v>
      </c>
      <c r="N87" s="20">
        <v>0.0</v>
      </c>
      <c r="O87" s="17">
        <v>9548.0</v>
      </c>
      <c r="P87" s="20">
        <v>0.0</v>
      </c>
      <c r="Q87" s="17">
        <v>8548.0</v>
      </c>
      <c r="R87" s="20">
        <v>0.0</v>
      </c>
      <c r="S87" s="20">
        <v>0.0</v>
      </c>
      <c r="T87" s="20">
        <v>0.0</v>
      </c>
      <c r="U87" s="20">
        <v>0.0</v>
      </c>
      <c r="V87" s="20">
        <v>0.0</v>
      </c>
      <c r="W87" s="20">
        <v>0.0</v>
      </c>
      <c r="X87" s="17">
        <v>10548.0</v>
      </c>
      <c r="Y87" s="20">
        <v>0.0</v>
      </c>
      <c r="Z87" s="20">
        <v>0.0</v>
      </c>
      <c r="AA87" s="17">
        <v>3799.0</v>
      </c>
      <c r="AB87" s="20">
        <v>0.0</v>
      </c>
      <c r="AC87" s="20">
        <v>0.0</v>
      </c>
      <c r="AD87" s="20">
        <v>0.0</v>
      </c>
      <c r="AE87" s="17">
        <v>11585.0</v>
      </c>
      <c r="AF87" s="20">
        <v>0.0</v>
      </c>
      <c r="AG87" s="20">
        <v>0.0</v>
      </c>
      <c r="AH87" s="19">
        <f t="shared" si="24"/>
        <v>44028</v>
      </c>
    </row>
    <row r="88">
      <c r="A88" s="16" t="s">
        <v>88</v>
      </c>
      <c r="B88" s="27">
        <f t="shared" si="23"/>
        <v>0.002544900377</v>
      </c>
      <c r="C88" s="20">
        <v>0.0</v>
      </c>
      <c r="D88" s="20">
        <v>0.0</v>
      </c>
      <c r="E88" s="20">
        <v>0.0</v>
      </c>
      <c r="F88" s="20">
        <v>0.0</v>
      </c>
      <c r="G88" s="20">
        <v>0.0</v>
      </c>
      <c r="H88" s="20">
        <v>0.0</v>
      </c>
      <c r="I88" s="20">
        <v>0.0</v>
      </c>
      <c r="J88" s="20">
        <v>0.0</v>
      </c>
      <c r="K88" s="17">
        <v>20000.0</v>
      </c>
      <c r="L88" s="20">
        <v>0.0</v>
      </c>
      <c r="M88" s="20">
        <v>0.0</v>
      </c>
      <c r="N88" s="17">
        <v>20000.0</v>
      </c>
      <c r="O88" s="20">
        <v>0.0</v>
      </c>
      <c r="P88" s="20">
        <v>0.0</v>
      </c>
      <c r="Q88" s="20">
        <v>0.0</v>
      </c>
      <c r="R88" s="20">
        <v>0.0</v>
      </c>
      <c r="S88" s="20">
        <v>0.0</v>
      </c>
      <c r="T88" s="20">
        <v>0.0</v>
      </c>
      <c r="U88" s="17">
        <v>20000.0</v>
      </c>
      <c r="V88" s="20">
        <v>0.0</v>
      </c>
      <c r="W88" s="20">
        <v>0.0</v>
      </c>
      <c r="X88" s="20">
        <v>0.0</v>
      </c>
      <c r="Y88" s="20">
        <v>0.0</v>
      </c>
      <c r="Z88" s="20">
        <v>0.0</v>
      </c>
      <c r="AA88" s="17">
        <v>20000.0</v>
      </c>
      <c r="AB88" s="17">
        <v>20000.0</v>
      </c>
      <c r="AC88" s="20">
        <v>0.0</v>
      </c>
      <c r="AD88" s="20">
        <v>0.0</v>
      </c>
      <c r="AE88" s="20">
        <v>0.0</v>
      </c>
      <c r="AF88" s="20">
        <v>0.0</v>
      </c>
      <c r="AG88" s="20">
        <v>0.0</v>
      </c>
      <c r="AH88" s="19">
        <f t="shared" si="24"/>
        <v>100000</v>
      </c>
    </row>
    <row r="89">
      <c r="A89" s="16" t="s">
        <v>89</v>
      </c>
      <c r="B89" s="27">
        <f t="shared" si="23"/>
        <v>0</v>
      </c>
      <c r="C89" s="20">
        <v>0.0</v>
      </c>
      <c r="D89" s="20">
        <v>0.0</v>
      </c>
      <c r="E89" s="20">
        <v>0.0</v>
      </c>
      <c r="F89" s="20">
        <v>0.0</v>
      </c>
      <c r="G89" s="20">
        <v>0.0</v>
      </c>
      <c r="H89" s="20">
        <v>0.0</v>
      </c>
      <c r="I89" s="20">
        <v>0.0</v>
      </c>
      <c r="J89" s="20">
        <v>0.0</v>
      </c>
      <c r="K89" s="20">
        <v>0.0</v>
      </c>
      <c r="L89" s="20">
        <v>0.0</v>
      </c>
      <c r="M89" s="20">
        <v>0.0</v>
      </c>
      <c r="N89" s="20">
        <v>0.0</v>
      </c>
      <c r="O89" s="20">
        <v>0.0</v>
      </c>
      <c r="P89" s="20">
        <v>0.0</v>
      </c>
      <c r="Q89" s="20">
        <v>0.0</v>
      </c>
      <c r="R89" s="20">
        <v>0.0</v>
      </c>
      <c r="S89" s="20">
        <v>0.0</v>
      </c>
      <c r="T89" s="20">
        <v>0.0</v>
      </c>
      <c r="U89" s="20">
        <v>0.0</v>
      </c>
      <c r="V89" s="20">
        <v>0.0</v>
      </c>
      <c r="W89" s="20">
        <v>0.0</v>
      </c>
      <c r="X89" s="20">
        <v>0.0</v>
      </c>
      <c r="Y89" s="20">
        <v>0.0</v>
      </c>
      <c r="Z89" s="20">
        <v>0.0</v>
      </c>
      <c r="AA89" s="20">
        <v>0.0</v>
      </c>
      <c r="AB89" s="20">
        <v>0.0</v>
      </c>
      <c r="AC89" s="20">
        <v>0.0</v>
      </c>
      <c r="AD89" s="20">
        <v>0.0</v>
      </c>
      <c r="AE89" s="20">
        <v>0.0</v>
      </c>
      <c r="AF89" s="20">
        <v>0.0</v>
      </c>
      <c r="AG89" s="20">
        <v>0.0</v>
      </c>
      <c r="AH89" s="19">
        <f t="shared" si="24"/>
        <v>0</v>
      </c>
    </row>
    <row r="90">
      <c r="A90" s="16" t="s">
        <v>90</v>
      </c>
      <c r="B90" s="27">
        <f t="shared" si="23"/>
        <v>0.04893960491</v>
      </c>
      <c r="C90" s="20">
        <v>0.0</v>
      </c>
      <c r="D90" s="20">
        <v>0.0</v>
      </c>
      <c r="E90" s="20">
        <v>0.0</v>
      </c>
      <c r="F90" s="20">
        <v>0.0</v>
      </c>
      <c r="G90" s="20">
        <v>0.0</v>
      </c>
      <c r="H90" s="20">
        <v>0.0</v>
      </c>
      <c r="I90" s="20">
        <v>0.0</v>
      </c>
      <c r="J90" s="20">
        <v>0.0</v>
      </c>
      <c r="K90" s="20">
        <v>0.0</v>
      </c>
      <c r="L90" s="20">
        <v>0.0</v>
      </c>
      <c r="M90" s="17">
        <v>1923046.0</v>
      </c>
      <c r="N90" s="20">
        <v>0.0</v>
      </c>
      <c r="O90" s="20">
        <v>0.0</v>
      </c>
      <c r="P90" s="20">
        <v>0.0</v>
      </c>
      <c r="Q90" s="20">
        <v>0.0</v>
      </c>
      <c r="R90" s="20">
        <v>0.0</v>
      </c>
      <c r="S90" s="20">
        <v>0.0</v>
      </c>
      <c r="T90" s="20">
        <v>0.0</v>
      </c>
      <c r="U90" s="20">
        <v>0.0</v>
      </c>
      <c r="V90" s="20">
        <v>0.0</v>
      </c>
      <c r="W90" s="20">
        <v>0.0</v>
      </c>
      <c r="X90" s="20">
        <v>0.0</v>
      </c>
      <c r="Y90" s="20">
        <v>0.0</v>
      </c>
      <c r="Z90" s="20">
        <v>0.0</v>
      </c>
      <c r="AA90" s="20">
        <v>0.0</v>
      </c>
      <c r="AB90" s="20">
        <v>0.0</v>
      </c>
      <c r="AC90" s="20">
        <v>0.0</v>
      </c>
      <c r="AD90" s="20">
        <v>0.0</v>
      </c>
      <c r="AE90" s="20">
        <v>0.0</v>
      </c>
      <c r="AF90" s="20">
        <v>0.0</v>
      </c>
      <c r="AG90" s="20">
        <v>0.0</v>
      </c>
      <c r="AH90" s="19">
        <f t="shared" si="24"/>
        <v>1923046</v>
      </c>
    </row>
    <row r="91">
      <c r="A91" s="16" t="s">
        <v>91</v>
      </c>
      <c r="B91" s="27">
        <f t="shared" si="23"/>
        <v>0.00546771846</v>
      </c>
      <c r="C91" s="20">
        <v>0.0</v>
      </c>
      <c r="D91" s="20">
        <v>0.0</v>
      </c>
      <c r="E91" s="20">
        <v>0.0</v>
      </c>
      <c r="F91" s="20">
        <v>0.0</v>
      </c>
      <c r="G91" s="20">
        <v>0.0</v>
      </c>
      <c r="H91" s="20">
        <v>0.0</v>
      </c>
      <c r="I91" s="20">
        <v>0.0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  <c r="O91" s="20">
        <v>0.0</v>
      </c>
      <c r="P91" s="20">
        <v>0.0</v>
      </c>
      <c r="Q91" s="20">
        <v>0.0</v>
      </c>
      <c r="R91" s="20">
        <v>0.0</v>
      </c>
      <c r="S91" s="20">
        <v>0.0</v>
      </c>
      <c r="T91" s="20">
        <v>0.0</v>
      </c>
      <c r="U91" s="20">
        <v>0.0</v>
      </c>
      <c r="V91" s="20">
        <f>74100+16990</f>
        <v>91090</v>
      </c>
      <c r="W91" s="20">
        <v>0.0</v>
      </c>
      <c r="X91" s="17">
        <v>123760.0</v>
      </c>
      <c r="Y91" s="17">
        <v>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v>0.0</v>
      </c>
      <c r="AG91" s="20">
        <v>0.0</v>
      </c>
      <c r="AH91" s="19">
        <f t="shared" si="24"/>
        <v>214850</v>
      </c>
    </row>
    <row r="92">
      <c r="A92" s="16" t="s">
        <v>92</v>
      </c>
      <c r="B92" s="27">
        <f t="shared" si="23"/>
        <v>0.001440489961</v>
      </c>
      <c r="C92" s="20">
        <v>0.0</v>
      </c>
      <c r="D92" s="17">
        <v>56603.0</v>
      </c>
      <c r="E92" s="20">
        <v>0.0</v>
      </c>
      <c r="F92" s="20">
        <v>0.0</v>
      </c>
      <c r="G92" s="20">
        <v>0.0</v>
      </c>
      <c r="H92" s="20">
        <v>0.0</v>
      </c>
      <c r="I92" s="20">
        <v>0.0</v>
      </c>
      <c r="J92" s="20">
        <v>0.0</v>
      </c>
      <c r="K92" s="20">
        <v>0.0</v>
      </c>
      <c r="L92" s="20">
        <v>0.0</v>
      </c>
      <c r="M92" s="20">
        <v>0.0</v>
      </c>
      <c r="N92" s="20">
        <v>0.0</v>
      </c>
      <c r="O92" s="20">
        <v>0.0</v>
      </c>
      <c r="P92" s="20">
        <v>0.0</v>
      </c>
      <c r="Q92" s="20">
        <v>0.0</v>
      </c>
      <c r="R92" s="20">
        <v>0.0</v>
      </c>
      <c r="S92" s="20">
        <v>0.0</v>
      </c>
      <c r="T92" s="20">
        <v>0.0</v>
      </c>
      <c r="U92" s="20">
        <v>0.0</v>
      </c>
      <c r="V92" s="20">
        <v>0.0</v>
      </c>
      <c r="W92" s="20">
        <v>0.0</v>
      </c>
      <c r="X92" s="20">
        <v>0.0</v>
      </c>
      <c r="Y92" s="20">
        <v>0.0</v>
      </c>
      <c r="Z92" s="20">
        <v>0.0</v>
      </c>
      <c r="AA92" s="20">
        <v>0.0</v>
      </c>
      <c r="AB92" s="20">
        <v>0.0</v>
      </c>
      <c r="AC92" s="20">
        <v>0.0</v>
      </c>
      <c r="AD92" s="20">
        <v>0.0</v>
      </c>
      <c r="AE92" s="20">
        <v>0.0</v>
      </c>
      <c r="AF92" s="20">
        <v>0.0</v>
      </c>
      <c r="AG92" s="20">
        <v>0.0</v>
      </c>
      <c r="AH92" s="19">
        <f t="shared" si="24"/>
        <v>56603</v>
      </c>
    </row>
    <row r="93">
      <c r="A93" s="16" t="s">
        <v>93</v>
      </c>
      <c r="B93" s="27">
        <f t="shared" si="23"/>
        <v>0.0005089800754</v>
      </c>
      <c r="C93" s="20">
        <v>0.0</v>
      </c>
      <c r="D93" s="20">
        <v>0.0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  <c r="P93" s="20">
        <v>0.0</v>
      </c>
      <c r="Q93" s="20">
        <v>0.0</v>
      </c>
      <c r="R93" s="20">
        <v>0.0</v>
      </c>
      <c r="S93" s="20">
        <v>0.0</v>
      </c>
      <c r="T93" s="20">
        <v>0.0</v>
      </c>
      <c r="U93" s="20">
        <v>0.0</v>
      </c>
      <c r="V93" s="20">
        <v>0.0</v>
      </c>
      <c r="W93" s="20">
        <v>0.0</v>
      </c>
      <c r="X93" s="20">
        <v>0.0</v>
      </c>
      <c r="Y93" s="20">
        <v>0.0</v>
      </c>
      <c r="Z93" s="17">
        <v>20000.0</v>
      </c>
      <c r="AA93" s="20">
        <v>0.0</v>
      </c>
      <c r="AB93" s="20">
        <v>0.0</v>
      </c>
      <c r="AC93" s="20">
        <v>0.0</v>
      </c>
      <c r="AD93" s="20">
        <v>0.0</v>
      </c>
      <c r="AE93" s="20">
        <v>0.0</v>
      </c>
      <c r="AF93" s="20">
        <v>0.0</v>
      </c>
      <c r="AG93" s="20">
        <v>0.0</v>
      </c>
      <c r="AH93" s="19">
        <f t="shared" si="24"/>
        <v>20000</v>
      </c>
    </row>
    <row r="94">
      <c r="A94" s="7"/>
      <c r="B94" s="8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>
      <c r="A95" s="51" t="s">
        <v>94</v>
      </c>
      <c r="B95" s="52">
        <f t="shared" ref="B95:B97" si="26">AH95/$AH$10</f>
        <v>0.1197865012</v>
      </c>
      <c r="C95" s="53">
        <f t="shared" ref="C95:AH95" si="25">SUM(C96:C97)</f>
        <v>0</v>
      </c>
      <c r="D95" s="53">
        <f t="shared" si="25"/>
        <v>0</v>
      </c>
      <c r="E95" s="53">
        <f t="shared" si="25"/>
        <v>0</v>
      </c>
      <c r="F95" s="53">
        <f t="shared" si="25"/>
        <v>0</v>
      </c>
      <c r="G95" s="53">
        <f t="shared" si="25"/>
        <v>0</v>
      </c>
      <c r="H95" s="53">
        <f t="shared" si="25"/>
        <v>0</v>
      </c>
      <c r="I95" s="53">
        <f t="shared" si="25"/>
        <v>0</v>
      </c>
      <c r="J95" s="53">
        <f t="shared" si="25"/>
        <v>0</v>
      </c>
      <c r="K95" s="53">
        <f t="shared" si="25"/>
        <v>0</v>
      </c>
      <c r="L95" s="53">
        <f t="shared" si="25"/>
        <v>0</v>
      </c>
      <c r="M95" s="53">
        <f t="shared" si="25"/>
        <v>0</v>
      </c>
      <c r="N95" s="53">
        <f t="shared" si="25"/>
        <v>0</v>
      </c>
      <c r="O95" s="53">
        <f t="shared" si="25"/>
        <v>0</v>
      </c>
      <c r="P95" s="53">
        <f t="shared" si="25"/>
        <v>0</v>
      </c>
      <c r="Q95" s="53">
        <f t="shared" si="25"/>
        <v>0</v>
      </c>
      <c r="R95" s="53">
        <f t="shared" si="25"/>
        <v>0</v>
      </c>
      <c r="S95" s="53">
        <f t="shared" si="25"/>
        <v>0</v>
      </c>
      <c r="T95" s="53">
        <f t="shared" si="25"/>
        <v>0</v>
      </c>
      <c r="U95" s="53">
        <f t="shared" si="25"/>
        <v>0</v>
      </c>
      <c r="V95" s="53">
        <f t="shared" si="25"/>
        <v>4706923</v>
      </c>
      <c r="W95" s="53">
        <f t="shared" si="25"/>
        <v>0</v>
      </c>
      <c r="X95" s="53">
        <f t="shared" si="25"/>
        <v>0</v>
      </c>
      <c r="Y95" s="53">
        <f t="shared" si="25"/>
        <v>0</v>
      </c>
      <c r="Z95" s="53">
        <f t="shared" si="25"/>
        <v>0</v>
      </c>
      <c r="AA95" s="53">
        <f t="shared" si="25"/>
        <v>0</v>
      </c>
      <c r="AB95" s="53">
        <f t="shared" si="25"/>
        <v>0</v>
      </c>
      <c r="AC95" s="53">
        <f t="shared" si="25"/>
        <v>0</v>
      </c>
      <c r="AD95" s="53">
        <f t="shared" si="25"/>
        <v>0</v>
      </c>
      <c r="AE95" s="53">
        <f t="shared" si="25"/>
        <v>0</v>
      </c>
      <c r="AF95" s="53">
        <f t="shared" si="25"/>
        <v>0</v>
      </c>
      <c r="AG95" s="53">
        <f t="shared" si="25"/>
        <v>0</v>
      </c>
      <c r="AH95" s="54">
        <f t="shared" si="25"/>
        <v>4706923</v>
      </c>
    </row>
    <row r="96">
      <c r="A96" s="16" t="s">
        <v>95</v>
      </c>
      <c r="B96" s="27">
        <f t="shared" si="26"/>
        <v>0</v>
      </c>
      <c r="C96" s="20">
        <v>0.0</v>
      </c>
      <c r="D96" s="20">
        <v>0.0</v>
      </c>
      <c r="E96" s="20">
        <v>0.0</v>
      </c>
      <c r="F96" s="20">
        <v>0.0</v>
      </c>
      <c r="G96" s="20">
        <v>0.0</v>
      </c>
      <c r="H96" s="20">
        <v>0.0</v>
      </c>
      <c r="I96" s="20">
        <v>0.0</v>
      </c>
      <c r="J96" s="20">
        <v>0.0</v>
      </c>
      <c r="K96" s="20">
        <v>0.0</v>
      </c>
      <c r="L96" s="20">
        <v>0.0</v>
      </c>
      <c r="M96" s="20">
        <v>0.0</v>
      </c>
      <c r="N96" s="20">
        <v>0.0</v>
      </c>
      <c r="O96" s="20">
        <v>0.0</v>
      </c>
      <c r="P96" s="20">
        <v>0.0</v>
      </c>
      <c r="Q96" s="20">
        <v>0.0</v>
      </c>
      <c r="R96" s="20">
        <v>0.0</v>
      </c>
      <c r="S96" s="20">
        <v>0.0</v>
      </c>
      <c r="T96" s="20">
        <v>0.0</v>
      </c>
      <c r="U96" s="20">
        <v>0.0</v>
      </c>
      <c r="V96" s="20">
        <v>0.0</v>
      </c>
      <c r="W96" s="20">
        <v>0.0</v>
      </c>
      <c r="X96" s="20">
        <v>0.0</v>
      </c>
      <c r="Y96" s="20">
        <v>0.0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20">
        <v>0.0</v>
      </c>
      <c r="AF96" s="20">
        <v>0.0</v>
      </c>
      <c r="AG96" s="20">
        <v>0.0</v>
      </c>
      <c r="AH96" s="19">
        <f t="shared" ref="AH96:AH97" si="27">SUM(C96:AG96)</f>
        <v>0</v>
      </c>
    </row>
    <row r="97">
      <c r="A97" s="16" t="s">
        <v>96</v>
      </c>
      <c r="B97" s="27">
        <f t="shared" si="26"/>
        <v>0.1197865012</v>
      </c>
      <c r="C97" s="20">
        <v>0.0</v>
      </c>
      <c r="D97" s="20">
        <v>0.0</v>
      </c>
      <c r="E97" s="20">
        <v>0.0</v>
      </c>
      <c r="F97" s="20">
        <v>0.0</v>
      </c>
      <c r="G97" s="20">
        <v>0.0</v>
      </c>
      <c r="H97" s="20">
        <v>0.0</v>
      </c>
      <c r="I97" s="20">
        <v>0.0</v>
      </c>
      <c r="J97" s="20">
        <v>0.0</v>
      </c>
      <c r="K97" s="20">
        <v>0.0</v>
      </c>
      <c r="L97" s="20">
        <v>0.0</v>
      </c>
      <c r="M97" s="20">
        <v>0.0</v>
      </c>
      <c r="N97" s="20">
        <v>0.0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17">
        <v>4706923.0</v>
      </c>
      <c r="W97" s="20">
        <v>0.0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20">
        <v>0.0</v>
      </c>
      <c r="AD97" s="20">
        <v>0.0</v>
      </c>
      <c r="AE97" s="20">
        <v>0.0</v>
      </c>
      <c r="AF97" s="20">
        <v>0.0</v>
      </c>
      <c r="AG97" s="20">
        <v>0.0</v>
      </c>
      <c r="AH97" s="19">
        <f t="shared" si="27"/>
        <v>4706923</v>
      </c>
    </row>
    <row r="98">
      <c r="A98" s="7"/>
      <c r="B98" s="8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7"/>
      <c r="AH98" s="7"/>
    </row>
    <row r="99">
      <c r="A99" s="55" t="s">
        <v>97</v>
      </c>
      <c r="B99" s="56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8"/>
      <c r="AH99" s="38">
        <f>AH100+AH101</f>
        <v>1781231</v>
      </c>
    </row>
    <row r="100">
      <c r="A100" s="16" t="s">
        <v>98</v>
      </c>
      <c r="B100" s="8"/>
      <c r="C100" s="20">
        <v>0.0</v>
      </c>
      <c r="D100" s="20">
        <v>0.0</v>
      </c>
      <c r="E100" s="20">
        <v>0.0</v>
      </c>
      <c r="F100" s="20">
        <v>0.0</v>
      </c>
      <c r="G100" s="20">
        <v>0.0</v>
      </c>
      <c r="H100" s="20">
        <v>0.0</v>
      </c>
      <c r="I100" s="20">
        <v>0.0</v>
      </c>
      <c r="J100" s="20">
        <v>0.0</v>
      </c>
      <c r="K100" s="20">
        <v>0.0</v>
      </c>
      <c r="L100" s="20">
        <v>0.0</v>
      </c>
      <c r="M100" s="20">
        <v>0.0</v>
      </c>
      <c r="N100" s="20">
        <v>0.0</v>
      </c>
      <c r="O100" s="20">
        <v>0.0</v>
      </c>
      <c r="P100" s="20">
        <v>0.0</v>
      </c>
      <c r="Q100" s="20">
        <v>0.0</v>
      </c>
      <c r="R100" s="20">
        <v>0.0</v>
      </c>
      <c r="S100" s="20">
        <v>0.0</v>
      </c>
      <c r="T100" s="20">
        <v>0.0</v>
      </c>
      <c r="U100" s="20">
        <v>0.0</v>
      </c>
      <c r="V100" s="20">
        <v>0.0</v>
      </c>
      <c r="W100" s="20">
        <v>0.0</v>
      </c>
      <c r="X100" s="20">
        <v>0.0</v>
      </c>
      <c r="Y100" s="20">
        <v>0.0</v>
      </c>
      <c r="Z100" s="20">
        <v>0.0</v>
      </c>
      <c r="AA100" s="20">
        <v>0.0</v>
      </c>
      <c r="AB100" s="17">
        <v>1781231.0</v>
      </c>
      <c r="AC100" s="20">
        <v>0.0</v>
      </c>
      <c r="AD100" s="20">
        <v>0.0</v>
      </c>
      <c r="AE100" s="17">
        <v>0.0</v>
      </c>
      <c r="AF100" s="20">
        <v>0.0</v>
      </c>
      <c r="AG100" s="20">
        <v>0.0</v>
      </c>
      <c r="AH100" s="59">
        <f t="shared" ref="AH100:AH101" si="28">sum(C100:AG100)</f>
        <v>1781231</v>
      </c>
    </row>
    <row r="101">
      <c r="A101" s="7"/>
      <c r="B101" s="8"/>
      <c r="C101" s="20">
        <v>0.0</v>
      </c>
      <c r="D101" s="20">
        <v>0.0</v>
      </c>
      <c r="E101" s="20">
        <v>0.0</v>
      </c>
      <c r="F101" s="20">
        <v>0.0</v>
      </c>
      <c r="G101" s="20">
        <v>0.0</v>
      </c>
      <c r="H101" s="20">
        <v>0.0</v>
      </c>
      <c r="I101" s="20">
        <v>0.0</v>
      </c>
      <c r="J101" s="20">
        <v>0.0</v>
      </c>
      <c r="K101" s="20">
        <v>0.0</v>
      </c>
      <c r="L101" s="20">
        <v>0.0</v>
      </c>
      <c r="M101" s="20">
        <v>0.0</v>
      </c>
      <c r="N101" s="20">
        <v>0.0</v>
      </c>
      <c r="O101" s="20">
        <v>0.0</v>
      </c>
      <c r="P101" s="20">
        <v>0.0</v>
      </c>
      <c r="Q101" s="20">
        <v>0.0</v>
      </c>
      <c r="R101" s="20">
        <v>0.0</v>
      </c>
      <c r="S101" s="20">
        <v>0.0</v>
      </c>
      <c r="T101" s="20">
        <v>0.0</v>
      </c>
      <c r="U101" s="20">
        <v>0.0</v>
      </c>
      <c r="V101" s="20">
        <v>0.0</v>
      </c>
      <c r="W101" s="20">
        <v>0.0</v>
      </c>
      <c r="X101" s="20">
        <v>0.0</v>
      </c>
      <c r="Y101" s="20">
        <v>0.0</v>
      </c>
      <c r="Z101" s="20">
        <v>0.0</v>
      </c>
      <c r="AA101" s="20">
        <v>0.0</v>
      </c>
      <c r="AB101" s="20">
        <v>0.0</v>
      </c>
      <c r="AC101" s="20">
        <v>0.0</v>
      </c>
      <c r="AD101" s="20">
        <v>0.0</v>
      </c>
      <c r="AE101" s="20">
        <v>0.0</v>
      </c>
      <c r="AF101" s="20">
        <v>0.0</v>
      </c>
      <c r="AG101" s="20">
        <v>0.0</v>
      </c>
      <c r="AH101" s="59">
        <f t="shared" si="28"/>
        <v>0</v>
      </c>
    </row>
    <row r="102">
      <c r="A102" s="7"/>
      <c r="B102" s="8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7"/>
      <c r="AH102" s="7"/>
    </row>
    <row r="103">
      <c r="A103" s="60" t="s">
        <v>99</v>
      </c>
      <c r="B103" s="61"/>
      <c r="C103" s="62">
        <f t="shared" ref="C103:AG103" si="29">C95+C84+C78+C31+C73+C12+C100+C101</f>
        <v>0</v>
      </c>
      <c r="D103" s="62">
        <f t="shared" si="29"/>
        <v>2409332</v>
      </c>
      <c r="E103" s="62">
        <f t="shared" si="29"/>
        <v>127565</v>
      </c>
      <c r="F103" s="62">
        <f t="shared" si="29"/>
        <v>76500</v>
      </c>
      <c r="G103" s="62">
        <f t="shared" si="29"/>
        <v>3571990</v>
      </c>
      <c r="H103" s="62">
        <f t="shared" si="29"/>
        <v>1253195</v>
      </c>
      <c r="I103" s="62">
        <f t="shared" si="29"/>
        <v>2202840</v>
      </c>
      <c r="J103" s="62">
        <f t="shared" si="29"/>
        <v>598049</v>
      </c>
      <c r="K103" s="62">
        <f t="shared" si="29"/>
        <v>421113</v>
      </c>
      <c r="L103" s="62">
        <f t="shared" si="29"/>
        <v>672986</v>
      </c>
      <c r="M103" s="62">
        <f t="shared" si="29"/>
        <v>4805665</v>
      </c>
      <c r="N103" s="62">
        <f t="shared" si="29"/>
        <v>1811544</v>
      </c>
      <c r="O103" s="62">
        <f t="shared" si="29"/>
        <v>1309021</v>
      </c>
      <c r="P103" s="62">
        <f t="shared" si="29"/>
        <v>689463</v>
      </c>
      <c r="Q103" s="62">
        <f t="shared" si="29"/>
        <v>1218548</v>
      </c>
      <c r="R103" s="62">
        <f t="shared" si="29"/>
        <v>745331</v>
      </c>
      <c r="S103" s="62">
        <f t="shared" si="29"/>
        <v>21300</v>
      </c>
      <c r="T103" s="62">
        <f t="shared" si="29"/>
        <v>377992</v>
      </c>
      <c r="U103" s="62">
        <f t="shared" si="29"/>
        <v>1316894</v>
      </c>
      <c r="V103" s="62">
        <f t="shared" si="29"/>
        <v>6242627</v>
      </c>
      <c r="W103" s="62">
        <f t="shared" si="29"/>
        <v>609044</v>
      </c>
      <c r="X103" s="62">
        <f t="shared" si="29"/>
        <v>224305</v>
      </c>
      <c r="Y103" s="62">
        <f t="shared" si="29"/>
        <v>454102</v>
      </c>
      <c r="Z103" s="62">
        <f t="shared" si="29"/>
        <v>704308</v>
      </c>
      <c r="AA103" s="62">
        <f t="shared" si="29"/>
        <v>23799</v>
      </c>
      <c r="AB103" s="62">
        <f t="shared" si="29"/>
        <v>2289768</v>
      </c>
      <c r="AC103" s="62">
        <f t="shared" si="29"/>
        <v>2016667</v>
      </c>
      <c r="AD103" s="62">
        <f t="shared" si="29"/>
        <v>397358</v>
      </c>
      <c r="AE103" s="62">
        <f t="shared" si="29"/>
        <v>323683</v>
      </c>
      <c r="AF103" s="62">
        <f t="shared" si="29"/>
        <v>668088</v>
      </c>
      <c r="AG103" s="62">
        <f t="shared" si="29"/>
        <v>6447396</v>
      </c>
      <c r="AH103" s="63">
        <f>sum(C103:AF103)</f>
        <v>37583077</v>
      </c>
    </row>
    <row r="104">
      <c r="A104" s="64" t="s">
        <v>100</v>
      </c>
      <c r="B104" s="65"/>
      <c r="C104" s="63">
        <f t="shared" ref="C104:AG104" si="30">C95+C84+C31+C73+C12</f>
        <v>0</v>
      </c>
      <c r="D104" s="63">
        <f t="shared" si="30"/>
        <v>2109169</v>
      </c>
      <c r="E104" s="63">
        <f t="shared" si="30"/>
        <v>127565</v>
      </c>
      <c r="F104" s="63">
        <f t="shared" si="30"/>
        <v>76500</v>
      </c>
      <c r="G104" s="63">
        <f t="shared" si="30"/>
        <v>1199138</v>
      </c>
      <c r="H104" s="63">
        <f t="shared" si="30"/>
        <v>1253195</v>
      </c>
      <c r="I104" s="63">
        <f t="shared" si="30"/>
        <v>2202840</v>
      </c>
      <c r="J104" s="63">
        <f t="shared" si="30"/>
        <v>202887</v>
      </c>
      <c r="K104" s="63">
        <f t="shared" si="30"/>
        <v>421113</v>
      </c>
      <c r="L104" s="63">
        <f t="shared" si="30"/>
        <v>672986</v>
      </c>
      <c r="M104" s="63">
        <f t="shared" si="30"/>
        <v>4805665</v>
      </c>
      <c r="N104" s="63">
        <f t="shared" si="30"/>
        <v>879478</v>
      </c>
      <c r="O104" s="63">
        <f t="shared" si="30"/>
        <v>1110421</v>
      </c>
      <c r="P104" s="63">
        <f t="shared" si="30"/>
        <v>398049</v>
      </c>
      <c r="Q104" s="63">
        <f t="shared" si="30"/>
        <v>1218548</v>
      </c>
      <c r="R104" s="63">
        <f t="shared" si="30"/>
        <v>745331</v>
      </c>
      <c r="S104" s="63">
        <f t="shared" si="30"/>
        <v>21300</v>
      </c>
      <c r="T104" s="63">
        <f t="shared" si="30"/>
        <v>377992</v>
      </c>
      <c r="U104" s="63">
        <f t="shared" si="30"/>
        <v>709478</v>
      </c>
      <c r="V104" s="63">
        <f t="shared" si="30"/>
        <v>6052927</v>
      </c>
      <c r="W104" s="63">
        <f t="shared" si="30"/>
        <v>609044</v>
      </c>
      <c r="X104" s="63">
        <f t="shared" si="30"/>
        <v>224305</v>
      </c>
      <c r="Y104" s="63">
        <f t="shared" si="30"/>
        <v>211648</v>
      </c>
      <c r="Z104" s="63">
        <f t="shared" si="30"/>
        <v>704308</v>
      </c>
      <c r="AA104" s="63">
        <f t="shared" si="30"/>
        <v>23799</v>
      </c>
      <c r="AB104" s="63">
        <f t="shared" si="30"/>
        <v>41060</v>
      </c>
      <c r="AC104" s="63">
        <f t="shared" si="30"/>
        <v>1610241</v>
      </c>
      <c r="AD104" s="63">
        <f t="shared" si="30"/>
        <v>397358</v>
      </c>
      <c r="AE104" s="63">
        <f t="shared" si="30"/>
        <v>323683</v>
      </c>
      <c r="AF104" s="63">
        <f t="shared" si="30"/>
        <v>668088</v>
      </c>
      <c r="AG104" s="63">
        <f t="shared" si="30"/>
        <v>6447396</v>
      </c>
      <c r="AH104" s="63">
        <f>sum(C104:AG104)</f>
        <v>35845512</v>
      </c>
    </row>
    <row r="105">
      <c r="A105" s="7"/>
      <c r="B105" s="8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7"/>
      <c r="AH105" s="7"/>
    </row>
    <row r="106">
      <c r="A106" s="21" t="s">
        <v>101</v>
      </c>
      <c r="B106" s="27">
        <f>AH106/$AH$10</f>
        <v>0.0877674299</v>
      </c>
      <c r="C106" s="22">
        <f t="shared" ref="C106:AG106" si="31">C9-C104</f>
        <v>1749852</v>
      </c>
      <c r="D106" s="22">
        <f t="shared" si="31"/>
        <v>-1995675</v>
      </c>
      <c r="E106" s="22">
        <f t="shared" si="31"/>
        <v>1368850</v>
      </c>
      <c r="F106" s="22">
        <f t="shared" si="31"/>
        <v>1968429</v>
      </c>
      <c r="G106" s="22">
        <f t="shared" si="31"/>
        <v>72089</v>
      </c>
      <c r="H106" s="22">
        <f t="shared" si="31"/>
        <v>109943</v>
      </c>
      <c r="I106" s="22">
        <f t="shared" si="31"/>
        <v>-793346</v>
      </c>
      <c r="J106" s="22">
        <f t="shared" si="31"/>
        <v>1309626</v>
      </c>
      <c r="K106" s="22">
        <f t="shared" si="31"/>
        <v>864111</v>
      </c>
      <c r="L106" s="22">
        <f t="shared" si="31"/>
        <v>1185970</v>
      </c>
      <c r="M106" s="22">
        <f t="shared" si="31"/>
        <v>-2060293</v>
      </c>
      <c r="N106" s="22">
        <f t="shared" si="31"/>
        <v>585512</v>
      </c>
      <c r="O106" s="22">
        <f t="shared" si="31"/>
        <v>132609</v>
      </c>
      <c r="P106" s="22">
        <f t="shared" si="31"/>
        <v>1187344</v>
      </c>
      <c r="Q106" s="22">
        <f t="shared" si="31"/>
        <v>-195727</v>
      </c>
      <c r="R106" s="22">
        <f t="shared" si="31"/>
        <v>658072</v>
      </c>
      <c r="S106" s="22">
        <f t="shared" si="31"/>
        <v>1937343</v>
      </c>
      <c r="T106" s="22">
        <f t="shared" si="31"/>
        <v>2051486</v>
      </c>
      <c r="U106" s="22">
        <f t="shared" si="31"/>
        <v>938886</v>
      </c>
      <c r="V106" s="22">
        <f t="shared" si="31"/>
        <v>-5309390</v>
      </c>
      <c r="W106" s="22">
        <f t="shared" si="31"/>
        <v>974204</v>
      </c>
      <c r="X106" s="22">
        <f t="shared" si="31"/>
        <v>1270716</v>
      </c>
      <c r="Y106" s="22">
        <f t="shared" si="31"/>
        <v>485825</v>
      </c>
      <c r="Z106" s="22">
        <f t="shared" si="31"/>
        <v>604545</v>
      </c>
      <c r="AA106" s="22">
        <f t="shared" si="31"/>
        <v>2079348</v>
      </c>
      <c r="AB106" s="22">
        <f t="shared" si="31"/>
        <v>1136461</v>
      </c>
      <c r="AC106" s="22">
        <f t="shared" si="31"/>
        <v>-793614</v>
      </c>
      <c r="AD106" s="22">
        <f t="shared" si="31"/>
        <v>1063143</v>
      </c>
      <c r="AE106" s="22">
        <f t="shared" si="31"/>
        <v>908719</v>
      </c>
      <c r="AF106" s="22">
        <f t="shared" si="31"/>
        <v>820812</v>
      </c>
      <c r="AG106" s="22">
        <f t="shared" si="31"/>
        <v>-4463363</v>
      </c>
      <c r="AH106" s="19">
        <f>AH10-AH104</f>
        <v>3448757</v>
      </c>
    </row>
    <row r="107">
      <c r="A107" s="7"/>
      <c r="B107" s="8"/>
      <c r="C107" s="66"/>
      <c r="D107" s="66"/>
      <c r="E107" s="66"/>
      <c r="F107" s="66"/>
      <c r="G107" s="66"/>
      <c r="H107" s="66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7"/>
      <c r="B1002" s="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7"/>
      <c r="B1003" s="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7"/>
      <c r="B1004" s="8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7"/>
      <c r="B1005" s="8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7"/>
      <c r="B1006" s="8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7"/>
      <c r="B1007" s="8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7"/>
      <c r="B1008" s="8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7"/>
      <c r="B1009" s="8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7"/>
      <c r="B1010" s="8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7"/>
      <c r="B1011" s="8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7"/>
      <c r="B1012" s="8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7"/>
      <c r="B1013" s="8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7"/>
      <c r="B1014" s="8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7"/>
      <c r="B1015" s="8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7"/>
      <c r="B1016" s="8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>
      <c r="A1017" s="7"/>
      <c r="B1017" s="8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>
      <c r="A1018" s="7"/>
      <c r="B1018" s="8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>
      <c r="A1019" s="7"/>
      <c r="B1019" s="8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>
      <c r="A1020" s="7"/>
      <c r="B1020" s="8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>
      <c r="A1021" s="7"/>
      <c r="B1021" s="8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>
      <c r="A1022" s="7"/>
      <c r="B1022" s="8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>
      <c r="A1023" s="7"/>
      <c r="B1023" s="8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>
      <c r="A1024" s="7"/>
      <c r="B1024" s="8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>
      <c r="A1025" s="7"/>
      <c r="B1025" s="8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>
      <c r="A1026" s="7"/>
      <c r="B1026" s="8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>
      <c r="A1027" s="7"/>
      <c r="B1027" s="8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>
      <c r="A1028" s="7"/>
      <c r="B1028" s="8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>
      <c r="A1029" s="7"/>
      <c r="B1029" s="8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>
      <c r="A1030" s="7"/>
      <c r="B1030" s="8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>
      <c r="A1031" s="7"/>
      <c r="B1031" s="8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>
      <c r="A1032" s="7"/>
      <c r="B1032" s="8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>
      <c r="A1033" s="7"/>
      <c r="B1033" s="8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>
      <c r="A1034" s="7"/>
      <c r="B1034" s="8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>
      <c r="A1035" s="7"/>
      <c r="B1035" s="8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>
      <c r="A1036" s="7"/>
      <c r="B1036" s="8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>
      <c r="A1037" s="7"/>
      <c r="B1037" s="8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>
      <c r="A1038" s="7"/>
      <c r="B1038" s="8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>
      <c r="A1039" s="7"/>
      <c r="B1039" s="8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>
      <c r="A1040" s="7"/>
      <c r="B1040" s="8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>
      <c r="A1041" s="7"/>
      <c r="B1041" s="8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>
      <c r="A1042" s="7"/>
      <c r="B1042" s="8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>
      <c r="A1043" s="7"/>
      <c r="B1043" s="8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>
      <c r="A1044" s="7"/>
      <c r="B1044" s="8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>
      <c r="A1045" s="7"/>
      <c r="B1045" s="8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>
      <c r="A1046" s="7"/>
      <c r="B1046" s="8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63"/>
    <col hidden="1" min="31" max="33" width="12.63"/>
  </cols>
  <sheetData>
    <row r="1">
      <c r="A1" s="1"/>
      <c r="B1" s="3"/>
      <c r="C1" s="4">
        <v>46054.0</v>
      </c>
      <c r="D1" s="4">
        <v>46055.0</v>
      </c>
      <c r="E1" s="4">
        <v>46056.0</v>
      </c>
      <c r="F1" s="4">
        <v>46057.0</v>
      </c>
      <c r="G1" s="4">
        <v>46058.0</v>
      </c>
      <c r="H1" s="4">
        <v>46059.0</v>
      </c>
      <c r="I1" s="4">
        <v>46060.0</v>
      </c>
      <c r="J1" s="4">
        <v>46061.0</v>
      </c>
      <c r="K1" s="4">
        <v>46062.0</v>
      </c>
      <c r="L1" s="4">
        <v>46063.0</v>
      </c>
      <c r="M1" s="4">
        <v>46064.0</v>
      </c>
      <c r="N1" s="4">
        <v>46065.0</v>
      </c>
      <c r="O1" s="4">
        <v>46066.0</v>
      </c>
      <c r="P1" s="4">
        <v>46067.0</v>
      </c>
      <c r="Q1" s="4">
        <v>46068.0</v>
      </c>
      <c r="R1" s="4">
        <v>46069.0</v>
      </c>
      <c r="S1" s="4">
        <v>46070.0</v>
      </c>
      <c r="T1" s="4">
        <v>46071.0</v>
      </c>
      <c r="U1" s="4">
        <v>46072.0</v>
      </c>
      <c r="V1" s="4">
        <v>46073.0</v>
      </c>
      <c r="W1" s="4">
        <v>46074.0</v>
      </c>
      <c r="X1" s="4">
        <v>46075.0</v>
      </c>
      <c r="Y1" s="4">
        <v>46076.0</v>
      </c>
      <c r="Z1" s="4">
        <v>46077.0</v>
      </c>
      <c r="AA1" s="4">
        <v>46078.0</v>
      </c>
      <c r="AB1" s="4">
        <v>46079.0</v>
      </c>
      <c r="AC1" s="4">
        <v>46080.0</v>
      </c>
      <c r="AD1" s="4">
        <v>46081.0</v>
      </c>
      <c r="AE1" s="4"/>
      <c r="AF1" s="4"/>
      <c r="AG1" s="4"/>
      <c r="AH1" s="6" t="s">
        <v>1</v>
      </c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7"/>
      <c r="AH2" s="7"/>
    </row>
    <row r="3">
      <c r="A3" s="7"/>
      <c r="B3" s="8"/>
      <c r="C3" s="10"/>
      <c r="D3" s="10"/>
      <c r="E3" s="10"/>
      <c r="F3" s="10"/>
      <c r="G3" s="10"/>
      <c r="H3" s="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11" t="s">
        <v>2</v>
      </c>
      <c r="B4" s="12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16" t="s">
        <v>3</v>
      </c>
      <c r="B5" s="8"/>
      <c r="C5" s="17">
        <f>725798+92172+1865686+103529</f>
        <v>2787185</v>
      </c>
      <c r="D5" s="17">
        <f>43046+328722+919735</f>
        <v>1291503</v>
      </c>
      <c r="E5" s="17">
        <f>283773+6429+109208</f>
        <v>399410</v>
      </c>
      <c r="F5" s="17">
        <f>501293+497082+36768</f>
        <v>1035143</v>
      </c>
      <c r="G5" s="17">
        <f>31387+407140+852452</f>
        <v>1290979</v>
      </c>
      <c r="H5" s="17">
        <f>16740+115287+842050+298200+66318</f>
        <v>1338595</v>
      </c>
      <c r="I5" s="17">
        <f>690028+948920+54704+101038</f>
        <v>1794690</v>
      </c>
      <c r="J5" s="17">
        <f>1879480+356821+13044+151059</f>
        <v>2400404</v>
      </c>
      <c r="K5" s="17">
        <f>16077+50420+112995+1272072</f>
        <v>1451564</v>
      </c>
      <c r="L5" s="17">
        <f>174783+22155</f>
        <v>196938</v>
      </c>
      <c r="M5" s="17">
        <f>961673+486327+62775</f>
        <v>1510775</v>
      </c>
      <c r="N5" s="17">
        <f>510510+28598+700772+44441</f>
        <v>1284321</v>
      </c>
      <c r="O5" s="17">
        <f>1066903+420475+38063+22918</f>
        <v>1548359</v>
      </c>
      <c r="P5" s="17">
        <f>1841432+542189+77838+309234+89780</f>
        <v>2860473</v>
      </c>
      <c r="Q5" s="17">
        <f>1093084+145579+5112454+154447</f>
        <v>6505564</v>
      </c>
      <c r="R5" s="17">
        <f>96056+945234+83500</f>
        <v>1124790</v>
      </c>
      <c r="S5" s="17">
        <v>0.0</v>
      </c>
      <c r="T5" s="17">
        <f>1088481+675658+13850+87985+59900</f>
        <v>1925874</v>
      </c>
      <c r="U5" s="17">
        <f>495288+711135+28796+31844</f>
        <v>1267063</v>
      </c>
      <c r="V5" s="17">
        <f>309673+831214+58591+59287</f>
        <v>1258765</v>
      </c>
      <c r="W5" s="17">
        <f>855924+541260</f>
        <v>1397184</v>
      </c>
      <c r="X5" s="17">
        <f>1240654+437617+152554+17647</f>
        <v>1848472</v>
      </c>
      <c r="Y5" s="17">
        <f>61266+81011+1153557+112597</f>
        <v>1408431</v>
      </c>
      <c r="Z5" s="17">
        <f>131160+27102</f>
        <v>158262</v>
      </c>
      <c r="AA5" s="17">
        <f>531477+484645+209554</f>
        <v>1225676</v>
      </c>
      <c r="AB5" s="17">
        <f>34480+639559+99842+495326</f>
        <v>1269207</v>
      </c>
      <c r="AC5" s="17">
        <f>630927+23108+278392+86988+29346</f>
        <v>1048761</v>
      </c>
      <c r="AD5" s="17">
        <f>184976+448384+922398</f>
        <v>1555758</v>
      </c>
      <c r="AE5" s="17">
        <v>0.0</v>
      </c>
      <c r="AF5" s="17">
        <v>0.0</v>
      </c>
      <c r="AG5" s="17">
        <v>0.0</v>
      </c>
      <c r="AH5" s="19">
        <f t="shared" ref="AH5:AH8" si="1">SUM(C5:AG5)</f>
        <v>43184146</v>
      </c>
    </row>
    <row r="6">
      <c r="A6" s="16" t="s">
        <v>4</v>
      </c>
      <c r="B6" s="8"/>
      <c r="C6" s="17">
        <v>28250.0</v>
      </c>
      <c r="D6" s="20">
        <v>0.0</v>
      </c>
      <c r="E6" s="20">
        <f>277400+44400</f>
        <v>321800</v>
      </c>
      <c r="F6" s="17">
        <v>35050.0</v>
      </c>
      <c r="G6" s="20">
        <v>0.0</v>
      </c>
      <c r="H6" s="20">
        <v>0.0</v>
      </c>
      <c r="I6" s="17">
        <v>16150.0</v>
      </c>
      <c r="J6" s="20">
        <v>0.0</v>
      </c>
      <c r="K6" s="20">
        <v>0.0</v>
      </c>
      <c r="L6" s="17">
        <v>5900.0</v>
      </c>
      <c r="M6" s="20">
        <v>0.0</v>
      </c>
      <c r="N6" s="20">
        <v>0.0</v>
      </c>
      <c r="O6" s="20">
        <v>0.0</v>
      </c>
      <c r="P6" s="17">
        <v>24900.0</v>
      </c>
      <c r="Q6" s="20">
        <v>0.0</v>
      </c>
      <c r="R6" s="20">
        <v>0.0</v>
      </c>
      <c r="S6" s="20">
        <v>0.0</v>
      </c>
      <c r="T6" s="20">
        <v>0.0</v>
      </c>
      <c r="U6" s="20">
        <v>0.0</v>
      </c>
      <c r="V6" s="20">
        <v>0.0</v>
      </c>
      <c r="W6" s="17">
        <v>21500.0</v>
      </c>
      <c r="X6" s="17">
        <v>36960.0</v>
      </c>
      <c r="Y6" s="20">
        <v>0.0</v>
      </c>
      <c r="Z6" s="17">
        <v>41950.0</v>
      </c>
      <c r="AA6" s="20">
        <v>0.0</v>
      </c>
      <c r="AB6" s="17">
        <v>34950.0</v>
      </c>
      <c r="AC6" s="20">
        <v>0.0</v>
      </c>
      <c r="AD6" s="20">
        <v>0.0</v>
      </c>
      <c r="AE6" s="20">
        <v>0.0</v>
      </c>
      <c r="AF6" s="20">
        <v>0.0</v>
      </c>
      <c r="AG6" s="20">
        <v>0.0</v>
      </c>
      <c r="AH6" s="19">
        <f t="shared" si="1"/>
        <v>567410</v>
      </c>
    </row>
    <row r="7">
      <c r="A7" s="16" t="s">
        <v>5</v>
      </c>
      <c r="B7" s="8"/>
      <c r="C7" s="20">
        <v>0.0</v>
      </c>
      <c r="D7" s="20">
        <v>0.0</v>
      </c>
      <c r="E7" s="20">
        <v>0.0</v>
      </c>
      <c r="F7" s="20">
        <v>0.0</v>
      </c>
      <c r="G7" s="20">
        <v>0.0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17">
        <v>250000.0</v>
      </c>
      <c r="V7" s="20">
        <v>0.0</v>
      </c>
      <c r="W7" s="20">
        <v>0.0</v>
      </c>
      <c r="X7" s="20">
        <v>0.0</v>
      </c>
      <c r="Y7" s="20">
        <v>0.0</v>
      </c>
      <c r="Z7" s="20">
        <v>0.0</v>
      </c>
      <c r="AA7" s="20">
        <v>0.0</v>
      </c>
      <c r="AB7" s="20">
        <v>0.0</v>
      </c>
      <c r="AC7" s="20">
        <v>0.0</v>
      </c>
      <c r="AD7" s="20">
        <v>0.0</v>
      </c>
      <c r="AE7" s="20">
        <v>0.0</v>
      </c>
      <c r="AF7" s="20">
        <v>0.0</v>
      </c>
      <c r="AG7" s="20">
        <v>0.0</v>
      </c>
      <c r="AH7" s="19">
        <f t="shared" si="1"/>
        <v>250000</v>
      </c>
    </row>
    <row r="8">
      <c r="A8" s="16" t="s">
        <v>6</v>
      </c>
      <c r="B8" s="8"/>
      <c r="C8" s="20">
        <v>0.0</v>
      </c>
      <c r="D8" s="20">
        <v>0.0</v>
      </c>
      <c r="E8" s="20">
        <f>148415+357124</f>
        <v>505539</v>
      </c>
      <c r="F8" s="20">
        <v>0.0</v>
      </c>
      <c r="G8" s="20">
        <v>0.0</v>
      </c>
      <c r="H8" s="20">
        <v>0.0</v>
      </c>
      <c r="I8" s="20">
        <v>0.0</v>
      </c>
      <c r="J8" s="20">
        <v>0.0</v>
      </c>
      <c r="K8" s="20">
        <v>0.0</v>
      </c>
      <c r="L8" s="20">
        <f>392255+29139</f>
        <v>421394</v>
      </c>
      <c r="M8" s="20">
        <v>0.0</v>
      </c>
      <c r="N8" s="20">
        <v>0.0</v>
      </c>
      <c r="O8" s="20">
        <v>0.0</v>
      </c>
      <c r="P8" s="20">
        <v>0.0</v>
      </c>
      <c r="Q8" s="20">
        <v>0.0</v>
      </c>
      <c r="R8" s="20">
        <v>0.0</v>
      </c>
      <c r="S8" s="20">
        <f>63918+437417</f>
        <v>501335</v>
      </c>
      <c r="T8" s="20">
        <v>0.0</v>
      </c>
      <c r="U8" s="20">
        <v>0.0</v>
      </c>
      <c r="V8" s="20">
        <v>0.0</v>
      </c>
      <c r="W8" s="20">
        <v>0.0</v>
      </c>
      <c r="X8" s="20">
        <v>0.0</v>
      </c>
      <c r="Y8" s="20">
        <v>0.0</v>
      </c>
      <c r="Z8" s="20">
        <f>205876+497780</f>
        <v>703656</v>
      </c>
      <c r="AA8" s="20">
        <v>0.0</v>
      </c>
      <c r="AB8" s="20">
        <v>0.0</v>
      </c>
      <c r="AC8" s="20">
        <v>0.0</v>
      </c>
      <c r="AD8" s="20">
        <v>0.0</v>
      </c>
      <c r="AE8" s="20">
        <v>0.0</v>
      </c>
      <c r="AF8" s="20">
        <v>0.0</v>
      </c>
      <c r="AG8" s="20">
        <v>0.0</v>
      </c>
      <c r="AH8" s="19">
        <f t="shared" si="1"/>
        <v>2131924</v>
      </c>
    </row>
    <row r="9">
      <c r="A9" s="21" t="s">
        <v>7</v>
      </c>
      <c r="B9" s="8"/>
      <c r="C9" s="22">
        <f t="shared" ref="C9:AH9" si="2">SUM(C5:C8)</f>
        <v>2815435</v>
      </c>
      <c r="D9" s="22">
        <f t="shared" si="2"/>
        <v>1291503</v>
      </c>
      <c r="E9" s="22">
        <f t="shared" si="2"/>
        <v>1226749</v>
      </c>
      <c r="F9" s="22">
        <f t="shared" si="2"/>
        <v>1070193</v>
      </c>
      <c r="G9" s="22">
        <f t="shared" si="2"/>
        <v>1290979</v>
      </c>
      <c r="H9" s="22">
        <f t="shared" si="2"/>
        <v>1338595</v>
      </c>
      <c r="I9" s="22">
        <f t="shared" si="2"/>
        <v>1810840</v>
      </c>
      <c r="J9" s="22">
        <f t="shared" si="2"/>
        <v>2400404</v>
      </c>
      <c r="K9" s="22">
        <f t="shared" si="2"/>
        <v>1451564</v>
      </c>
      <c r="L9" s="22">
        <f t="shared" si="2"/>
        <v>624232</v>
      </c>
      <c r="M9" s="22">
        <f t="shared" si="2"/>
        <v>1510775</v>
      </c>
      <c r="N9" s="22">
        <f t="shared" si="2"/>
        <v>1284321</v>
      </c>
      <c r="O9" s="22">
        <f t="shared" si="2"/>
        <v>1548359</v>
      </c>
      <c r="P9" s="22">
        <f t="shared" si="2"/>
        <v>2885373</v>
      </c>
      <c r="Q9" s="22">
        <f t="shared" si="2"/>
        <v>6505564</v>
      </c>
      <c r="R9" s="22">
        <f t="shared" si="2"/>
        <v>1124790</v>
      </c>
      <c r="S9" s="22">
        <f t="shared" si="2"/>
        <v>501335</v>
      </c>
      <c r="T9" s="22">
        <f t="shared" si="2"/>
        <v>1925874</v>
      </c>
      <c r="U9" s="22">
        <f t="shared" si="2"/>
        <v>1517063</v>
      </c>
      <c r="V9" s="22">
        <f t="shared" si="2"/>
        <v>1258765</v>
      </c>
      <c r="W9" s="22">
        <f t="shared" si="2"/>
        <v>1418684</v>
      </c>
      <c r="X9" s="22">
        <f t="shared" si="2"/>
        <v>1885432</v>
      </c>
      <c r="Y9" s="22">
        <f t="shared" si="2"/>
        <v>1408431</v>
      </c>
      <c r="Z9" s="22">
        <f t="shared" si="2"/>
        <v>903868</v>
      </c>
      <c r="AA9" s="22">
        <f t="shared" si="2"/>
        <v>1225676</v>
      </c>
      <c r="AB9" s="22">
        <f t="shared" si="2"/>
        <v>1304157</v>
      </c>
      <c r="AC9" s="22">
        <f t="shared" si="2"/>
        <v>1048761</v>
      </c>
      <c r="AD9" s="22">
        <f t="shared" si="2"/>
        <v>1555758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19">
        <f t="shared" si="2"/>
        <v>46133480</v>
      </c>
    </row>
    <row r="10">
      <c r="A10" s="21" t="s">
        <v>8</v>
      </c>
      <c r="B10" s="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9">
        <f>AH9-AH81</f>
        <v>41645305</v>
      </c>
    </row>
    <row r="11">
      <c r="A11" s="7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7"/>
      <c r="AC11" s="10"/>
      <c r="AD11" s="10"/>
      <c r="AE11" s="10"/>
      <c r="AF11" s="10"/>
      <c r="AG11" s="7"/>
      <c r="AH11" s="10"/>
    </row>
    <row r="12">
      <c r="A12" s="23" t="s">
        <v>9</v>
      </c>
      <c r="B12" s="24">
        <f t="shared" ref="B12:B30" si="4">AH12/$AH$10</f>
        <v>0.3324286375</v>
      </c>
      <c r="C12" s="25">
        <f t="shared" ref="C12:AH12" si="3">sum(C13:C30)</f>
        <v>827960</v>
      </c>
      <c r="D12" s="25">
        <f t="shared" si="3"/>
        <v>170940</v>
      </c>
      <c r="E12" s="25">
        <f t="shared" si="3"/>
        <v>746417</v>
      </c>
      <c r="F12" s="25">
        <f t="shared" si="3"/>
        <v>156836</v>
      </c>
      <c r="G12" s="25">
        <f t="shared" si="3"/>
        <v>843785</v>
      </c>
      <c r="H12" s="25">
        <f t="shared" si="3"/>
        <v>225690</v>
      </c>
      <c r="I12" s="25">
        <f t="shared" si="3"/>
        <v>176918</v>
      </c>
      <c r="J12" s="25">
        <f t="shared" si="3"/>
        <v>31250</v>
      </c>
      <c r="K12" s="25">
        <f t="shared" si="3"/>
        <v>463063</v>
      </c>
      <c r="L12" s="25">
        <f t="shared" si="3"/>
        <v>1676266</v>
      </c>
      <c r="M12" s="25">
        <f t="shared" si="3"/>
        <v>706068</v>
      </c>
      <c r="N12" s="25">
        <f t="shared" si="3"/>
        <v>170336</v>
      </c>
      <c r="O12" s="25">
        <f t="shared" si="3"/>
        <v>171110</v>
      </c>
      <c r="P12" s="25">
        <f t="shared" si="3"/>
        <v>107820</v>
      </c>
      <c r="Q12" s="25">
        <f t="shared" si="3"/>
        <v>140638</v>
      </c>
      <c r="R12" s="25">
        <f t="shared" si="3"/>
        <v>221901</v>
      </c>
      <c r="S12" s="25">
        <f t="shared" si="3"/>
        <v>1022172</v>
      </c>
      <c r="T12" s="25">
        <f t="shared" si="3"/>
        <v>975933</v>
      </c>
      <c r="U12" s="25">
        <f t="shared" si="3"/>
        <v>919138</v>
      </c>
      <c r="V12" s="25">
        <f t="shared" si="3"/>
        <v>263224</v>
      </c>
      <c r="W12" s="25">
        <f t="shared" si="3"/>
        <v>0</v>
      </c>
      <c r="X12" s="25">
        <f t="shared" si="3"/>
        <v>0</v>
      </c>
      <c r="Y12" s="25">
        <f t="shared" si="3"/>
        <v>237652</v>
      </c>
      <c r="Z12" s="25">
        <f t="shared" si="3"/>
        <v>2297321</v>
      </c>
      <c r="AA12" s="25">
        <f t="shared" si="3"/>
        <v>184730</v>
      </c>
      <c r="AB12" s="25">
        <f t="shared" si="3"/>
        <v>46105</v>
      </c>
      <c r="AC12" s="25">
        <f t="shared" si="3"/>
        <v>211390</v>
      </c>
      <c r="AD12" s="25">
        <f t="shared" si="3"/>
        <v>849429</v>
      </c>
      <c r="AE12" s="25">
        <f t="shared" si="3"/>
        <v>0</v>
      </c>
      <c r="AF12" s="25">
        <f t="shared" si="3"/>
        <v>0</v>
      </c>
      <c r="AG12" s="25">
        <f t="shared" si="3"/>
        <v>0</v>
      </c>
      <c r="AH12" s="26">
        <f t="shared" si="3"/>
        <v>13844092</v>
      </c>
    </row>
    <row r="13">
      <c r="A13" s="16" t="s">
        <v>10</v>
      </c>
      <c r="B13" s="27">
        <f t="shared" si="4"/>
        <v>0.04242264524</v>
      </c>
      <c r="C13" s="17">
        <v>5770.0</v>
      </c>
      <c r="D13" s="17">
        <v>43410.0</v>
      </c>
      <c r="E13" s="17">
        <f>30000</f>
        <v>30000</v>
      </c>
      <c r="F13" s="17">
        <v>21890.0</v>
      </c>
      <c r="G13" s="17">
        <v>77926.0</v>
      </c>
      <c r="H13" s="17">
        <v>25770.0</v>
      </c>
      <c r="I13" s="17">
        <f>25000+46410+20700</f>
        <v>92110</v>
      </c>
      <c r="J13" s="17">
        <f>5470+25780</f>
        <v>31250</v>
      </c>
      <c r="K13" s="17">
        <f>77350+171360+24156</f>
        <v>272866</v>
      </c>
      <c r="L13" s="17">
        <v>19900.0</v>
      </c>
      <c r="M13" s="17">
        <f>153986+84000+42000</f>
        <v>279986</v>
      </c>
      <c r="N13" s="17">
        <v>13256.0</v>
      </c>
      <c r="O13" s="17">
        <v>49730.0</v>
      </c>
      <c r="P13" s="17">
        <f>50000+57820</f>
        <v>107820</v>
      </c>
      <c r="Q13" s="17">
        <v>103320.0</v>
      </c>
      <c r="R13" s="17">
        <v>0.0</v>
      </c>
      <c r="S13" s="17">
        <v>28020.0</v>
      </c>
      <c r="T13" s="17">
        <f>166600+9540</f>
        <v>176140</v>
      </c>
      <c r="U13" s="17">
        <v>0.0</v>
      </c>
      <c r="V13" s="17">
        <v>84000.0</v>
      </c>
      <c r="W13" s="17">
        <v>0.0</v>
      </c>
      <c r="X13" s="17">
        <v>0.0</v>
      </c>
      <c r="Y13" s="17">
        <v>0.0</v>
      </c>
      <c r="Z13" s="17">
        <v>0.0</v>
      </c>
      <c r="AA13" s="17">
        <f>10000+17650</f>
        <v>27650</v>
      </c>
      <c r="AB13" s="17">
        <v>0.0</v>
      </c>
      <c r="AC13" s="17">
        <f>120190+91200</f>
        <v>211390</v>
      </c>
      <c r="AD13" s="17">
        <f>56500+8000</f>
        <v>64500</v>
      </c>
      <c r="AE13" s="17">
        <v>0.0</v>
      </c>
      <c r="AF13" s="17">
        <v>0.0</v>
      </c>
      <c r="AG13" s="17">
        <v>0.0</v>
      </c>
      <c r="AH13" s="19">
        <f t="shared" ref="AH13:AH30" si="5">SUM(C13:AG13)</f>
        <v>1766704</v>
      </c>
    </row>
    <row r="14">
      <c r="A14" s="28" t="s">
        <v>12</v>
      </c>
      <c r="B14" s="27">
        <f t="shared" si="4"/>
        <v>0.01183806914</v>
      </c>
      <c r="C14" s="17">
        <v>0.0</v>
      </c>
      <c r="D14" s="17">
        <v>116000.0</v>
      </c>
      <c r="E14" s="17">
        <v>0.0</v>
      </c>
      <c r="F14" s="20">
        <v>0.0</v>
      </c>
      <c r="G14" s="17">
        <v>116000.0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20">
        <v>0.0</v>
      </c>
      <c r="O14" s="20">
        <v>0.0</v>
      </c>
      <c r="P14" s="20">
        <v>0.0</v>
      </c>
      <c r="Q14" s="20">
        <v>0.0</v>
      </c>
      <c r="R14" s="17">
        <v>116000.0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17">
        <v>145000.0</v>
      </c>
      <c r="AA14" s="20">
        <v>0.0</v>
      </c>
      <c r="AB14" s="20">
        <v>0.0</v>
      </c>
      <c r="AC14" s="20">
        <v>0.0</v>
      </c>
      <c r="AD14" s="20">
        <v>0.0</v>
      </c>
      <c r="AE14" s="20">
        <v>0.0</v>
      </c>
      <c r="AF14" s="20">
        <v>0.0</v>
      </c>
      <c r="AG14" s="20">
        <v>0.0</v>
      </c>
      <c r="AH14" s="19">
        <f t="shared" si="5"/>
        <v>493000</v>
      </c>
    </row>
    <row r="15">
      <c r="A15" s="16" t="s">
        <v>13</v>
      </c>
      <c r="B15" s="27">
        <f t="shared" si="4"/>
        <v>0.06682964622</v>
      </c>
      <c r="C15" s="20">
        <v>0.0</v>
      </c>
      <c r="D15" s="20">
        <v>0.0</v>
      </c>
      <c r="E15" s="17">
        <v>625666.0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17">
        <v>558624.0</v>
      </c>
      <c r="M15" s="20">
        <v>0.0</v>
      </c>
      <c r="N15" s="20">
        <v>0.0</v>
      </c>
      <c r="O15" s="20">
        <v>0.0</v>
      </c>
      <c r="P15" s="20">
        <v>0.0</v>
      </c>
      <c r="Q15" s="20">
        <v>0.0</v>
      </c>
      <c r="R15" s="20">
        <v>0.0</v>
      </c>
      <c r="S15" s="20">
        <v>0.0</v>
      </c>
      <c r="T15" s="20">
        <v>0.0</v>
      </c>
      <c r="U15" s="17">
        <v>919138.0</v>
      </c>
      <c r="V15" s="20">
        <v>0.0</v>
      </c>
      <c r="W15" s="20">
        <v>0.0</v>
      </c>
      <c r="X15" s="20">
        <v>0.0</v>
      </c>
      <c r="Y15" s="20">
        <v>0.0</v>
      </c>
      <c r="Z15" s="17">
        <v>679713.0</v>
      </c>
      <c r="AA15" s="20">
        <v>0.0</v>
      </c>
      <c r="AB15" s="20">
        <v>0.0</v>
      </c>
      <c r="AC15" s="20">
        <v>0.0</v>
      </c>
      <c r="AD15" s="20">
        <v>0.0</v>
      </c>
      <c r="AE15" s="20">
        <v>0.0</v>
      </c>
      <c r="AF15" s="20">
        <v>0.0</v>
      </c>
      <c r="AG15" s="20">
        <v>0.0</v>
      </c>
      <c r="AH15" s="19">
        <f t="shared" si="5"/>
        <v>2783141</v>
      </c>
    </row>
    <row r="16">
      <c r="A16" s="28" t="s">
        <v>14</v>
      </c>
      <c r="B16" s="27">
        <f t="shared" si="4"/>
        <v>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0.0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20">
        <v>0.0</v>
      </c>
      <c r="AG16" s="20">
        <v>0.0</v>
      </c>
      <c r="AH16" s="19">
        <f t="shared" si="5"/>
        <v>0</v>
      </c>
    </row>
    <row r="17">
      <c r="A17" s="28" t="s">
        <v>15</v>
      </c>
      <c r="B17" s="27">
        <f t="shared" si="4"/>
        <v>0.05910094787</v>
      </c>
      <c r="C17" s="20">
        <v>0.0</v>
      </c>
      <c r="D17" s="20">
        <v>0.0</v>
      </c>
      <c r="E17" s="20">
        <v>0.0</v>
      </c>
      <c r="F17" s="17">
        <v>0.0</v>
      </c>
      <c r="G17" s="17">
        <v>649859.0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0.0</v>
      </c>
      <c r="R17" s="20">
        <v>0.0</v>
      </c>
      <c r="S17" s="20">
        <v>0.0</v>
      </c>
      <c r="T17" s="17">
        <v>639625.0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17">
        <v>747082.0</v>
      </c>
      <c r="AA17" s="20">
        <v>0.0</v>
      </c>
      <c r="AB17" s="20">
        <v>0.0</v>
      </c>
      <c r="AC17" s="20">
        <v>0.0</v>
      </c>
      <c r="AD17" s="17">
        <v>424711.0</v>
      </c>
      <c r="AE17" s="20">
        <v>0.0</v>
      </c>
      <c r="AF17" s="20">
        <v>0.0</v>
      </c>
      <c r="AG17" s="20">
        <v>0.0</v>
      </c>
      <c r="AH17" s="19">
        <f t="shared" si="5"/>
        <v>2461277</v>
      </c>
    </row>
    <row r="18">
      <c r="A18" s="30" t="s">
        <v>19</v>
      </c>
      <c r="B18" s="27">
        <f t="shared" si="4"/>
        <v>0.06586300665</v>
      </c>
      <c r="C18" s="17">
        <v>814620.0</v>
      </c>
      <c r="D18" s="17">
        <v>0.0</v>
      </c>
      <c r="E18" s="17">
        <v>0.0</v>
      </c>
      <c r="F18" s="17">
        <v>0.0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L18" s="17">
        <v>647690.0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17">
        <v>784975.0</v>
      </c>
      <c r="T18" s="17">
        <v>0.0</v>
      </c>
      <c r="U18" s="17">
        <v>0.0</v>
      </c>
      <c r="V18" s="17">
        <v>0.0</v>
      </c>
      <c r="W18" s="17">
        <v>0.0</v>
      </c>
      <c r="X18" s="17">
        <v>0.0</v>
      </c>
      <c r="Y18" s="17">
        <v>0.0</v>
      </c>
      <c r="Z18" s="17">
        <v>376600.0</v>
      </c>
      <c r="AA18" s="17">
        <v>0.0</v>
      </c>
      <c r="AB18" s="17">
        <v>0.0</v>
      </c>
      <c r="AC18" s="17">
        <v>0.0</v>
      </c>
      <c r="AD18" s="17">
        <v>119000.0</v>
      </c>
      <c r="AE18" s="17">
        <v>0.0</v>
      </c>
      <c r="AF18" s="17">
        <v>0.0</v>
      </c>
      <c r="AG18" s="17">
        <v>0.0</v>
      </c>
      <c r="AH18" s="19">
        <f t="shared" si="5"/>
        <v>2742885</v>
      </c>
    </row>
    <row r="19">
      <c r="A19" s="16" t="s">
        <v>21</v>
      </c>
      <c r="B19" s="27">
        <f t="shared" si="4"/>
        <v>0.01062976967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17">
        <v>199920.0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17">
        <v>121380.0</v>
      </c>
      <c r="P19" s="20">
        <v>0.0</v>
      </c>
      <c r="Q19" s="20">
        <v>0.0</v>
      </c>
      <c r="R19" s="20">
        <v>0.0</v>
      </c>
      <c r="S19" s="20">
        <v>0.0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17">
        <v>121380.0</v>
      </c>
      <c r="AA19" s="20">
        <v>0.0</v>
      </c>
      <c r="AB19" s="20">
        <v>0.0</v>
      </c>
      <c r="AC19" s="20">
        <v>0.0</v>
      </c>
      <c r="AD19" s="20">
        <v>0.0</v>
      </c>
      <c r="AE19" s="20">
        <v>0.0</v>
      </c>
      <c r="AF19" s="20">
        <v>0.0</v>
      </c>
      <c r="AG19" s="20">
        <v>0.0</v>
      </c>
      <c r="AH19" s="19">
        <f t="shared" si="5"/>
        <v>442680</v>
      </c>
    </row>
    <row r="20">
      <c r="A20" s="16" t="s">
        <v>20</v>
      </c>
      <c r="B20" s="27">
        <f t="shared" si="4"/>
        <v>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0.0</v>
      </c>
      <c r="U20" s="20">
        <v>0.0</v>
      </c>
      <c r="V20" s="20">
        <v>0.0</v>
      </c>
      <c r="W20" s="20">
        <v>0.0</v>
      </c>
      <c r="X20" s="20">
        <v>0.0</v>
      </c>
      <c r="Y20" s="20">
        <v>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20">
        <v>0.0</v>
      </c>
      <c r="AF20" s="20">
        <v>0.0</v>
      </c>
      <c r="AG20" s="20">
        <v>0.0</v>
      </c>
      <c r="AH20" s="19">
        <f t="shared" si="5"/>
        <v>0</v>
      </c>
    </row>
    <row r="21">
      <c r="A21" s="16" t="s">
        <v>22</v>
      </c>
      <c r="B21" s="27">
        <f t="shared" si="4"/>
        <v>0</v>
      </c>
      <c r="C21" s="17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0.0</v>
      </c>
      <c r="V21" s="20">
        <v>0.0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  <c r="AH21" s="19">
        <f t="shared" si="5"/>
        <v>0</v>
      </c>
    </row>
    <row r="22">
      <c r="A22" s="16" t="s">
        <v>23</v>
      </c>
      <c r="B22" s="27">
        <f t="shared" si="4"/>
        <v>0.006074970516</v>
      </c>
      <c r="C22" s="17">
        <v>0.0</v>
      </c>
      <c r="D22" s="17">
        <v>0.0</v>
      </c>
      <c r="E22" s="17">
        <v>0.0</v>
      </c>
      <c r="F22" s="17">
        <v>134946.0</v>
      </c>
      <c r="G22" s="17">
        <v>0.0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U22" s="17">
        <v>0.0</v>
      </c>
      <c r="V22" s="17">
        <v>0.0</v>
      </c>
      <c r="W22" s="17">
        <v>0.0</v>
      </c>
      <c r="X22" s="17">
        <v>0.0</v>
      </c>
      <c r="Y22" s="17">
        <v>0.0</v>
      </c>
      <c r="Z22" s="17">
        <v>118048.0</v>
      </c>
      <c r="AA22" s="17">
        <v>0.0</v>
      </c>
      <c r="AB22" s="17">
        <v>0.0</v>
      </c>
      <c r="AC22" s="17">
        <v>0.0</v>
      </c>
      <c r="AD22" s="17">
        <v>0.0</v>
      </c>
      <c r="AE22" s="17">
        <v>0.0</v>
      </c>
      <c r="AF22" s="17">
        <v>0.0</v>
      </c>
      <c r="AG22" s="17">
        <v>0.0</v>
      </c>
      <c r="AH22" s="19">
        <f t="shared" si="5"/>
        <v>252994</v>
      </c>
    </row>
    <row r="23">
      <c r="A23" s="16" t="s">
        <v>24</v>
      </c>
      <c r="B23" s="27">
        <f t="shared" si="4"/>
        <v>0.006377741741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17">
        <v>23000.0</v>
      </c>
      <c r="L23" s="17">
        <v>56089.0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17">
        <v>16501.0</v>
      </c>
      <c r="S23" s="17">
        <v>0.0</v>
      </c>
      <c r="T23" s="20">
        <v>0.0</v>
      </c>
      <c r="U23" s="20">
        <v>0.0</v>
      </c>
      <c r="V23" s="20">
        <v>0.0</v>
      </c>
      <c r="W23" s="20">
        <v>0.0</v>
      </c>
      <c r="X23" s="20">
        <v>0.0</v>
      </c>
      <c r="Y23" s="17">
        <f>23205+127307</f>
        <v>150512</v>
      </c>
      <c r="Z23" s="17">
        <v>19501.0</v>
      </c>
      <c r="AA23" s="20">
        <v>0.0</v>
      </c>
      <c r="AB23" s="20">
        <v>0.0</v>
      </c>
      <c r="AC23" s="20">
        <v>0.0</v>
      </c>
      <c r="AD23" s="20">
        <v>0.0</v>
      </c>
      <c r="AE23" s="20">
        <v>0.0</v>
      </c>
      <c r="AF23" s="20">
        <v>0.0</v>
      </c>
      <c r="AG23" s="20">
        <v>0.0</v>
      </c>
      <c r="AH23" s="19">
        <f t="shared" si="5"/>
        <v>265603</v>
      </c>
    </row>
    <row r="24">
      <c r="A24" s="16" t="s">
        <v>25</v>
      </c>
      <c r="B24" s="27">
        <f t="shared" si="4"/>
        <v>0.01187276693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17">
        <v>157080.0</v>
      </c>
      <c r="M24" s="20">
        <v>0.0</v>
      </c>
      <c r="N24" s="17">
        <v>157080.0</v>
      </c>
      <c r="O24" s="20">
        <v>0.0</v>
      </c>
      <c r="P24" s="20">
        <v>0.0</v>
      </c>
      <c r="Q24" s="20">
        <v>0.0</v>
      </c>
      <c r="R24" s="20">
        <v>0.0</v>
      </c>
      <c r="S24" s="17">
        <v>23205.0</v>
      </c>
      <c r="T24" s="20">
        <v>0.0</v>
      </c>
      <c r="U24" s="20">
        <v>0.0</v>
      </c>
      <c r="V24" s="20">
        <v>0.0</v>
      </c>
      <c r="W24" s="20">
        <v>0.0</v>
      </c>
      <c r="X24" s="20">
        <v>0.0</v>
      </c>
      <c r="Y24" s="20">
        <v>0.0</v>
      </c>
      <c r="Z24" s="20">
        <v>0.0</v>
      </c>
      <c r="AA24" s="17">
        <v>157080.0</v>
      </c>
      <c r="AB24" s="20">
        <v>0.0</v>
      </c>
      <c r="AC24" s="20">
        <v>0.0</v>
      </c>
      <c r="AD24" s="20">
        <v>0.0</v>
      </c>
      <c r="AE24" s="20">
        <v>0.0</v>
      </c>
      <c r="AF24" s="20">
        <v>0.0</v>
      </c>
      <c r="AG24" s="20">
        <v>0.0</v>
      </c>
      <c r="AH24" s="19">
        <f t="shared" si="5"/>
        <v>494445</v>
      </c>
    </row>
    <row r="25">
      <c r="A25" s="16" t="s">
        <v>26</v>
      </c>
      <c r="B25" s="27">
        <f t="shared" si="4"/>
        <v>0.007934195703</v>
      </c>
      <c r="C25" s="17">
        <v>7570.0</v>
      </c>
      <c r="D25" s="17">
        <v>11530.0</v>
      </c>
      <c r="E25" s="17">
        <v>90751.0</v>
      </c>
      <c r="F25" s="20">
        <v>0.0</v>
      </c>
      <c r="G25" s="20">
        <v>0.0</v>
      </c>
      <c r="H25" s="20">
        <v>0.0</v>
      </c>
      <c r="I25" s="17">
        <v>84808.0</v>
      </c>
      <c r="J25" s="20">
        <v>0.0</v>
      </c>
      <c r="K25" s="20">
        <v>0.0</v>
      </c>
      <c r="L25" s="20">
        <v>0.0</v>
      </c>
      <c r="M25" s="20">
        <v>0.0</v>
      </c>
      <c r="N25" s="20">
        <v>0.0</v>
      </c>
      <c r="O25" s="20">
        <v>0.0</v>
      </c>
      <c r="P25" s="20">
        <v>0.0</v>
      </c>
      <c r="Q25" s="17">
        <f>37318</f>
        <v>37318</v>
      </c>
      <c r="R25" s="20">
        <v>0.0</v>
      </c>
      <c r="S25" s="17">
        <v>37160.0</v>
      </c>
      <c r="T25" s="20">
        <v>0.0</v>
      </c>
      <c r="U25" s="20">
        <v>0.0</v>
      </c>
      <c r="V25" s="20">
        <v>0.0</v>
      </c>
      <c r="W25" s="20">
        <v>0.0</v>
      </c>
      <c r="X25" s="20">
        <v>0.0</v>
      </c>
      <c r="Y25" s="17">
        <v>15180.0</v>
      </c>
      <c r="Z25" s="20">
        <v>0.0</v>
      </c>
      <c r="AA25" s="20">
        <v>0.0</v>
      </c>
      <c r="AB25" s="17">
        <v>46105.0</v>
      </c>
      <c r="AC25" s="20">
        <v>0.0</v>
      </c>
      <c r="AD25" s="20">
        <v>0.0</v>
      </c>
      <c r="AE25" s="20">
        <v>0.0</v>
      </c>
      <c r="AF25" s="20">
        <v>0.0</v>
      </c>
      <c r="AG25" s="20">
        <v>0.0</v>
      </c>
      <c r="AH25" s="19">
        <f t="shared" si="5"/>
        <v>330422</v>
      </c>
    </row>
    <row r="26">
      <c r="A26" s="16" t="s">
        <v>27</v>
      </c>
      <c r="B26" s="27">
        <f t="shared" si="4"/>
        <v>0.009419933411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7">
        <v>0.0</v>
      </c>
      <c r="I26" s="17">
        <v>0.0</v>
      </c>
      <c r="J26" s="17">
        <v>0.0</v>
      </c>
      <c r="K26" s="17">
        <v>0.0</v>
      </c>
      <c r="L26" s="17">
        <v>160168.0</v>
      </c>
      <c r="M26" s="17">
        <v>0.0</v>
      </c>
      <c r="N26" s="17">
        <v>0.0</v>
      </c>
      <c r="O26" s="17">
        <v>0.0</v>
      </c>
      <c r="P26" s="17">
        <v>0.0</v>
      </c>
      <c r="Q26" s="17">
        <v>0.0</v>
      </c>
      <c r="R26" s="17">
        <v>0.0</v>
      </c>
      <c r="S26" s="17">
        <v>0.0</v>
      </c>
      <c r="T26" s="17">
        <v>160168.0</v>
      </c>
      <c r="U26" s="17">
        <v>0.0</v>
      </c>
      <c r="V26" s="17">
        <v>0.0</v>
      </c>
      <c r="W26" s="17">
        <v>0.0</v>
      </c>
      <c r="X26" s="17">
        <v>0.0</v>
      </c>
      <c r="Y26" s="17">
        <v>71960.0</v>
      </c>
      <c r="Z26" s="17">
        <v>0.0</v>
      </c>
      <c r="AA26" s="17">
        <v>0.0</v>
      </c>
      <c r="AB26" s="17">
        <v>0.0</v>
      </c>
      <c r="AC26" s="17">
        <v>0.0</v>
      </c>
      <c r="AD26" s="17">
        <v>0.0</v>
      </c>
      <c r="AE26" s="17">
        <v>0.0</v>
      </c>
      <c r="AF26" s="17">
        <v>0.0</v>
      </c>
      <c r="AG26" s="17">
        <v>0.0</v>
      </c>
      <c r="AH26" s="19">
        <f t="shared" si="5"/>
        <v>392296</v>
      </c>
    </row>
    <row r="27">
      <c r="A27" s="16" t="s">
        <v>28</v>
      </c>
      <c r="B27" s="27">
        <f t="shared" si="4"/>
        <v>0.00432207184</v>
      </c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17">
        <v>89997.0</v>
      </c>
      <c r="L27" s="20">
        <v>0.0</v>
      </c>
      <c r="M27" s="20">
        <v>0.0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20">
        <v>0.0</v>
      </c>
      <c r="T27" s="20">
        <v>0.0</v>
      </c>
      <c r="U27" s="20">
        <v>0.0</v>
      </c>
      <c r="V27" s="20">
        <v>0.0</v>
      </c>
      <c r="W27" s="20">
        <v>0.0</v>
      </c>
      <c r="X27" s="20">
        <v>0.0</v>
      </c>
      <c r="Y27" s="20">
        <v>0.0</v>
      </c>
      <c r="Z27" s="17">
        <v>89997.0</v>
      </c>
      <c r="AA27" s="20">
        <v>0.0</v>
      </c>
      <c r="AB27" s="20">
        <v>0.0</v>
      </c>
      <c r="AC27" s="20">
        <v>0.0</v>
      </c>
      <c r="AD27" s="20">
        <v>0.0</v>
      </c>
      <c r="AE27" s="20">
        <v>0.0</v>
      </c>
      <c r="AF27" s="20">
        <v>0.0</v>
      </c>
      <c r="AG27" s="20">
        <v>0.0</v>
      </c>
      <c r="AH27" s="19">
        <f t="shared" si="5"/>
        <v>179994</v>
      </c>
    </row>
    <row r="28">
      <c r="A28" s="16" t="s">
        <v>29</v>
      </c>
      <c r="B28" s="27">
        <f t="shared" si="4"/>
        <v>0.007955182463</v>
      </c>
      <c r="C28" s="20">
        <v>0.0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17">
        <v>248472.0</v>
      </c>
      <c r="N28" s="20">
        <v>0.0</v>
      </c>
      <c r="O28" s="20">
        <v>0.0</v>
      </c>
      <c r="P28" s="20">
        <v>0.0</v>
      </c>
      <c r="Q28" s="20">
        <v>0.0</v>
      </c>
      <c r="R28" s="20">
        <v>0.0</v>
      </c>
      <c r="S28" s="20">
        <v>0.0</v>
      </c>
      <c r="T28" s="20">
        <v>0.0</v>
      </c>
      <c r="U28" s="20">
        <v>0.0</v>
      </c>
      <c r="V28" s="17">
        <v>82824.0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0.0</v>
      </c>
      <c r="AC28" s="20">
        <v>0.0</v>
      </c>
      <c r="AD28" s="20">
        <v>0.0</v>
      </c>
      <c r="AE28" s="20">
        <v>0.0</v>
      </c>
      <c r="AF28" s="20">
        <v>0.0</v>
      </c>
      <c r="AG28" s="20">
        <v>0.0</v>
      </c>
      <c r="AH28" s="19">
        <f t="shared" si="5"/>
        <v>331296</v>
      </c>
    </row>
    <row r="29">
      <c r="A29" s="16" t="s">
        <v>30</v>
      </c>
      <c r="B29" s="27">
        <f t="shared" si="4"/>
        <v>0</v>
      </c>
      <c r="C29" s="20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0.0</v>
      </c>
      <c r="T29" s="20">
        <v>0.0</v>
      </c>
      <c r="U29" s="20">
        <v>0.0</v>
      </c>
      <c r="V29" s="20">
        <v>0.0</v>
      </c>
      <c r="W29" s="20">
        <v>0.0</v>
      </c>
      <c r="X29" s="20">
        <v>0.0</v>
      </c>
      <c r="Y29" s="20">
        <v>0.0</v>
      </c>
      <c r="Z29" s="20">
        <v>0.0</v>
      </c>
      <c r="AA29" s="20">
        <v>0.0</v>
      </c>
      <c r="AB29" s="20">
        <v>0.0</v>
      </c>
      <c r="AC29" s="20">
        <v>0.0</v>
      </c>
      <c r="AD29" s="20">
        <v>0.0</v>
      </c>
      <c r="AE29" s="20">
        <v>0.0</v>
      </c>
      <c r="AF29" s="20">
        <v>0.0</v>
      </c>
      <c r="AG29" s="20">
        <v>0.0</v>
      </c>
      <c r="AH29" s="19">
        <f t="shared" si="5"/>
        <v>0</v>
      </c>
    </row>
    <row r="30">
      <c r="A30" s="16" t="s">
        <v>31</v>
      </c>
      <c r="B30" s="27">
        <f t="shared" si="4"/>
        <v>0.02178769011</v>
      </c>
      <c r="C30" s="20">
        <v>0.0</v>
      </c>
      <c r="D30" s="20">
        <v>0.0</v>
      </c>
      <c r="E30" s="20">
        <v>0.0</v>
      </c>
      <c r="F30" s="20">
        <v>0.0</v>
      </c>
      <c r="G30" s="20">
        <v>0.0</v>
      </c>
      <c r="H30" s="20">
        <v>0.0</v>
      </c>
      <c r="I30" s="20">
        <v>0.0</v>
      </c>
      <c r="J30" s="17">
        <v>0.0</v>
      </c>
      <c r="K30" s="17">
        <v>77200.0</v>
      </c>
      <c r="L30" s="17">
        <v>76715.0</v>
      </c>
      <c r="M30" s="17">
        <v>177610.0</v>
      </c>
      <c r="N30" s="20">
        <v>0.0</v>
      </c>
      <c r="O30" s="20">
        <v>0.0</v>
      </c>
      <c r="P30" s="20">
        <v>0.0</v>
      </c>
      <c r="Q30" s="20">
        <v>0.0</v>
      </c>
      <c r="R30" s="17">
        <v>89400.0</v>
      </c>
      <c r="S30" s="17">
        <v>148812.0</v>
      </c>
      <c r="T30" s="20">
        <v>0.0</v>
      </c>
      <c r="U30" s="20">
        <v>0.0</v>
      </c>
      <c r="V30" s="17">
        <v>96400.0</v>
      </c>
      <c r="W30" s="17">
        <v>0.0</v>
      </c>
      <c r="X30" s="20">
        <v>0.0</v>
      </c>
      <c r="Y30" s="20">
        <v>0.0</v>
      </c>
      <c r="Z30" s="17">
        <v>0.0</v>
      </c>
      <c r="AA30" s="20">
        <v>0.0</v>
      </c>
      <c r="AB30" s="20">
        <v>0.0</v>
      </c>
      <c r="AC30" s="20">
        <v>0.0</v>
      </c>
      <c r="AD30" s="17">
        <v>241218.0</v>
      </c>
      <c r="AE30" s="17">
        <v>0.0</v>
      </c>
      <c r="AF30" s="20">
        <v>0.0</v>
      </c>
      <c r="AG30" s="20">
        <v>0.0</v>
      </c>
      <c r="AH30" s="19">
        <f t="shared" si="5"/>
        <v>907355</v>
      </c>
    </row>
    <row r="31">
      <c r="A31" s="7"/>
      <c r="B31" s="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7"/>
      <c r="AH31" s="7"/>
    </row>
    <row r="32">
      <c r="A32" s="31" t="s">
        <v>32</v>
      </c>
      <c r="B32" s="32">
        <f t="shared" ref="B32:B61" si="7">AH32/$AH$10</f>
        <v>0.2075904115</v>
      </c>
      <c r="C32" s="33">
        <f t="shared" ref="C32:AH32" si="6">sum(C33+C53+C63)</f>
        <v>0</v>
      </c>
      <c r="D32" s="33">
        <f t="shared" si="6"/>
        <v>0</v>
      </c>
      <c r="E32" s="33">
        <f t="shared" si="6"/>
        <v>58245</v>
      </c>
      <c r="F32" s="33">
        <f t="shared" si="6"/>
        <v>0</v>
      </c>
      <c r="G32" s="33">
        <f t="shared" si="6"/>
        <v>13000</v>
      </c>
      <c r="H32" s="33">
        <f t="shared" si="6"/>
        <v>2385298</v>
      </c>
      <c r="I32" s="33">
        <f t="shared" si="6"/>
        <v>0</v>
      </c>
      <c r="J32" s="33">
        <f t="shared" si="6"/>
        <v>345576</v>
      </c>
      <c r="K32" s="33">
        <f t="shared" si="6"/>
        <v>341959</v>
      </c>
      <c r="L32" s="33">
        <f t="shared" si="6"/>
        <v>42780</v>
      </c>
      <c r="M32" s="33">
        <f t="shared" si="6"/>
        <v>22670</v>
      </c>
      <c r="N32" s="33">
        <f t="shared" si="6"/>
        <v>3306119</v>
      </c>
      <c r="O32" s="33">
        <f t="shared" si="6"/>
        <v>50811</v>
      </c>
      <c r="P32" s="33">
        <f t="shared" si="6"/>
        <v>159450</v>
      </c>
      <c r="Q32" s="33">
        <f t="shared" si="6"/>
        <v>0</v>
      </c>
      <c r="R32" s="33">
        <f t="shared" si="6"/>
        <v>28800</v>
      </c>
      <c r="S32" s="33">
        <f t="shared" si="6"/>
        <v>649394</v>
      </c>
      <c r="T32" s="33">
        <f t="shared" si="6"/>
        <v>0</v>
      </c>
      <c r="U32" s="33">
        <f t="shared" si="6"/>
        <v>0</v>
      </c>
      <c r="V32" s="33">
        <f t="shared" si="6"/>
        <v>295613</v>
      </c>
      <c r="W32" s="33">
        <f t="shared" si="6"/>
        <v>60000</v>
      </c>
      <c r="X32" s="33">
        <f t="shared" si="6"/>
        <v>0</v>
      </c>
      <c r="Y32" s="33">
        <f t="shared" si="6"/>
        <v>49900</v>
      </c>
      <c r="Z32" s="33">
        <f t="shared" si="6"/>
        <v>11790</v>
      </c>
      <c r="AA32" s="33">
        <f t="shared" si="6"/>
        <v>2200</v>
      </c>
      <c r="AB32" s="33">
        <f t="shared" si="6"/>
        <v>4500</v>
      </c>
      <c r="AC32" s="33">
        <f t="shared" si="6"/>
        <v>217061</v>
      </c>
      <c r="AD32" s="33">
        <f t="shared" si="6"/>
        <v>600000</v>
      </c>
      <c r="AE32" s="33">
        <f t="shared" si="6"/>
        <v>0</v>
      </c>
      <c r="AF32" s="33">
        <f t="shared" si="6"/>
        <v>0</v>
      </c>
      <c r="AG32" s="33">
        <f t="shared" si="6"/>
        <v>0</v>
      </c>
      <c r="AH32" s="34">
        <f t="shared" si="6"/>
        <v>8645166</v>
      </c>
    </row>
    <row r="33">
      <c r="A33" s="35" t="s">
        <v>33</v>
      </c>
      <c r="B33" s="36">
        <f t="shared" si="7"/>
        <v>0.1745821768</v>
      </c>
      <c r="C33" s="37">
        <f t="shared" ref="C33:AH33" si="8">sum(C34:C52)</f>
        <v>0</v>
      </c>
      <c r="D33" s="37">
        <f t="shared" si="8"/>
        <v>0</v>
      </c>
      <c r="E33" s="37">
        <f t="shared" si="8"/>
        <v>0</v>
      </c>
      <c r="F33" s="37">
        <f t="shared" si="8"/>
        <v>0</v>
      </c>
      <c r="G33" s="37">
        <f t="shared" si="8"/>
        <v>0</v>
      </c>
      <c r="H33" s="37">
        <f t="shared" si="8"/>
        <v>2381361</v>
      </c>
      <c r="I33" s="37">
        <f t="shared" si="8"/>
        <v>0</v>
      </c>
      <c r="J33" s="37">
        <f t="shared" si="8"/>
        <v>234575</v>
      </c>
      <c r="K33" s="37">
        <f t="shared" si="8"/>
        <v>185712</v>
      </c>
      <c r="L33" s="37">
        <f t="shared" si="8"/>
        <v>42780</v>
      </c>
      <c r="M33" s="37">
        <f t="shared" si="8"/>
        <v>11790</v>
      </c>
      <c r="N33" s="37">
        <f t="shared" si="8"/>
        <v>3306119</v>
      </c>
      <c r="O33" s="37">
        <f t="shared" si="8"/>
        <v>50811</v>
      </c>
      <c r="P33" s="37">
        <f t="shared" si="8"/>
        <v>159450</v>
      </c>
      <c r="Q33" s="37">
        <f t="shared" si="8"/>
        <v>0</v>
      </c>
      <c r="R33" s="37">
        <f t="shared" si="8"/>
        <v>0</v>
      </c>
      <c r="S33" s="37">
        <f t="shared" si="8"/>
        <v>649394</v>
      </c>
      <c r="T33" s="37">
        <f t="shared" si="8"/>
        <v>0</v>
      </c>
      <c r="U33" s="37">
        <f t="shared" si="8"/>
        <v>0</v>
      </c>
      <c r="V33" s="37">
        <f t="shared" si="8"/>
        <v>186846</v>
      </c>
      <c r="W33" s="37">
        <f t="shared" si="8"/>
        <v>0</v>
      </c>
      <c r="X33" s="37">
        <f t="shared" si="8"/>
        <v>0</v>
      </c>
      <c r="Y33" s="37">
        <f t="shared" si="8"/>
        <v>49900</v>
      </c>
      <c r="Z33" s="37">
        <f t="shared" si="8"/>
        <v>11790</v>
      </c>
      <c r="AA33" s="37">
        <f t="shared" si="8"/>
        <v>0</v>
      </c>
      <c r="AB33" s="37">
        <f t="shared" si="8"/>
        <v>0</v>
      </c>
      <c r="AC33" s="37">
        <f t="shared" si="8"/>
        <v>0</v>
      </c>
      <c r="AD33" s="37">
        <f t="shared" si="8"/>
        <v>0</v>
      </c>
      <c r="AE33" s="37">
        <f t="shared" si="8"/>
        <v>0</v>
      </c>
      <c r="AF33" s="37">
        <f t="shared" si="8"/>
        <v>0</v>
      </c>
      <c r="AG33" s="37">
        <f t="shared" si="8"/>
        <v>0</v>
      </c>
      <c r="AH33" s="38">
        <f t="shared" si="8"/>
        <v>7270528</v>
      </c>
    </row>
    <row r="34">
      <c r="A34" s="16" t="s">
        <v>34</v>
      </c>
      <c r="B34" s="27">
        <f t="shared" si="7"/>
        <v>0.004667560965</v>
      </c>
      <c r="C34" s="20">
        <v>0.0</v>
      </c>
      <c r="D34" s="20">
        <v>0.0</v>
      </c>
      <c r="E34" s="20">
        <v>0.0</v>
      </c>
      <c r="F34" s="20">
        <v>0.0</v>
      </c>
      <c r="G34" s="20">
        <v>0.0</v>
      </c>
      <c r="H34" s="20">
        <v>0.0</v>
      </c>
      <c r="I34" s="20">
        <v>0.0</v>
      </c>
      <c r="J34" s="20">
        <v>0.0</v>
      </c>
      <c r="K34" s="20">
        <v>0.0</v>
      </c>
      <c r="L34" s="20">
        <v>0.0</v>
      </c>
      <c r="M34" s="20">
        <v>0.0</v>
      </c>
      <c r="N34" s="20">
        <v>0.0</v>
      </c>
      <c r="O34" s="20">
        <v>0.0</v>
      </c>
      <c r="P34" s="20">
        <v>0.0</v>
      </c>
      <c r="Q34" s="20">
        <v>0.0</v>
      </c>
      <c r="R34" s="20">
        <v>0.0</v>
      </c>
      <c r="S34" s="17">
        <v>194382.0</v>
      </c>
      <c r="T34" s="20">
        <v>0.0</v>
      </c>
      <c r="U34" s="20">
        <v>0.0</v>
      </c>
      <c r="V34" s="20">
        <v>0.0</v>
      </c>
      <c r="W34" s="20">
        <v>0.0</v>
      </c>
      <c r="X34" s="20">
        <v>0.0</v>
      </c>
      <c r="Y34" s="20">
        <v>0.0</v>
      </c>
      <c r="Z34" s="20">
        <v>0.0</v>
      </c>
      <c r="AA34" s="20">
        <v>0.0</v>
      </c>
      <c r="AB34" s="20">
        <v>0.0</v>
      </c>
      <c r="AC34" s="20">
        <v>0.0</v>
      </c>
      <c r="AD34" s="20">
        <v>0.0</v>
      </c>
      <c r="AE34" s="20">
        <v>0.0</v>
      </c>
      <c r="AF34" s="20">
        <v>0.0</v>
      </c>
      <c r="AG34" s="20">
        <v>0.0</v>
      </c>
      <c r="AH34" s="19">
        <f t="shared" ref="AH34:AH52" si="9">SUM(C34:AG34)</f>
        <v>194382</v>
      </c>
    </row>
    <row r="35">
      <c r="A35" s="16" t="s">
        <v>35</v>
      </c>
      <c r="B35" s="27">
        <f t="shared" si="7"/>
        <v>0.001592256318</v>
      </c>
      <c r="C35" s="20">
        <v>0.0</v>
      </c>
      <c r="D35" s="20">
        <v>0.0</v>
      </c>
      <c r="E35" s="20">
        <v>0.0</v>
      </c>
      <c r="F35" s="20">
        <v>0.0</v>
      </c>
      <c r="G35" s="20">
        <v>0.0</v>
      </c>
      <c r="H35" s="20">
        <v>0.0</v>
      </c>
      <c r="I35" s="20">
        <v>0.0</v>
      </c>
      <c r="J35" s="20">
        <v>0.0</v>
      </c>
      <c r="K35" s="20">
        <v>0.0</v>
      </c>
      <c r="L35" s="20">
        <v>0.0</v>
      </c>
      <c r="M35" s="20">
        <v>0.0</v>
      </c>
      <c r="N35" s="20">
        <v>0.0</v>
      </c>
      <c r="O35" s="20">
        <v>0.0</v>
      </c>
      <c r="P35" s="20">
        <v>0.0</v>
      </c>
      <c r="Q35" s="20">
        <v>0.0</v>
      </c>
      <c r="R35" s="20">
        <v>0.0</v>
      </c>
      <c r="S35" s="17">
        <v>66310.0</v>
      </c>
      <c r="T35" s="20">
        <v>0.0</v>
      </c>
      <c r="U35" s="20">
        <v>0.0</v>
      </c>
      <c r="V35" s="20">
        <v>0.0</v>
      </c>
      <c r="W35" s="20">
        <v>0.0</v>
      </c>
      <c r="X35" s="20">
        <v>0.0</v>
      </c>
      <c r="Y35" s="20">
        <v>0.0</v>
      </c>
      <c r="Z35" s="20">
        <v>0.0</v>
      </c>
      <c r="AA35" s="20">
        <v>0.0</v>
      </c>
      <c r="AB35" s="20">
        <v>0.0</v>
      </c>
      <c r="AC35" s="20">
        <v>0.0</v>
      </c>
      <c r="AD35" s="20">
        <v>0.0</v>
      </c>
      <c r="AE35" s="20">
        <v>0.0</v>
      </c>
      <c r="AF35" s="20">
        <v>0.0</v>
      </c>
      <c r="AG35" s="20">
        <v>0.0</v>
      </c>
      <c r="AH35" s="19">
        <f t="shared" si="9"/>
        <v>66310</v>
      </c>
    </row>
    <row r="36">
      <c r="A36" s="16" t="s">
        <v>36</v>
      </c>
      <c r="B36" s="27">
        <f t="shared" si="7"/>
        <v>0.00898999299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20">
        <v>0.0</v>
      </c>
      <c r="R36" s="20">
        <v>0.0</v>
      </c>
      <c r="S36" s="17">
        <v>374391.0</v>
      </c>
      <c r="T36" s="20">
        <v>0.0</v>
      </c>
      <c r="U36" s="20">
        <v>0.0</v>
      </c>
      <c r="V36" s="20">
        <v>0.0</v>
      </c>
      <c r="W36" s="20">
        <v>0.0</v>
      </c>
      <c r="X36" s="20">
        <v>0.0</v>
      </c>
      <c r="Y36" s="20">
        <v>0.0</v>
      </c>
      <c r="Z36" s="20">
        <v>0.0</v>
      </c>
      <c r="AA36" s="20">
        <v>0.0</v>
      </c>
      <c r="AB36" s="20">
        <v>0.0</v>
      </c>
      <c r="AC36" s="20">
        <v>0.0</v>
      </c>
      <c r="AD36" s="20">
        <v>0.0</v>
      </c>
      <c r="AE36" s="20">
        <v>0.0</v>
      </c>
      <c r="AF36" s="20">
        <v>0.0</v>
      </c>
      <c r="AG36" s="20">
        <v>0.0</v>
      </c>
      <c r="AH36" s="19">
        <f t="shared" si="9"/>
        <v>374391</v>
      </c>
    </row>
    <row r="37">
      <c r="A37" s="16" t="s">
        <v>37</v>
      </c>
      <c r="B37" s="27">
        <f t="shared" si="7"/>
        <v>0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20">
        <v>0.0</v>
      </c>
      <c r="T37" s="20">
        <v>0.0</v>
      </c>
      <c r="U37" s="20">
        <v>0.0</v>
      </c>
      <c r="V37" s="20">
        <v>0.0</v>
      </c>
      <c r="W37" s="20">
        <v>0.0</v>
      </c>
      <c r="X37" s="20">
        <v>0.0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20">
        <v>0.0</v>
      </c>
      <c r="AF37" s="20">
        <v>0.0</v>
      </c>
      <c r="AG37" s="20">
        <v>0.0</v>
      </c>
      <c r="AH37" s="19">
        <f t="shared" si="9"/>
        <v>0</v>
      </c>
    </row>
    <row r="38">
      <c r="A38" s="16" t="s">
        <v>38</v>
      </c>
      <c r="B38" s="27">
        <f t="shared" si="7"/>
        <v>0.005632687766</v>
      </c>
      <c r="C38" s="20">
        <v>0.0</v>
      </c>
      <c r="D38" s="20">
        <v>0.0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17">
        <f>136614+97961</f>
        <v>234575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0.0</v>
      </c>
      <c r="R38" s="20">
        <v>0.0</v>
      </c>
      <c r="S38" s="20">
        <v>0.0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0.0</v>
      </c>
      <c r="Z38" s="20">
        <v>0.0</v>
      </c>
      <c r="AA38" s="20">
        <v>0.0</v>
      </c>
      <c r="AB38" s="20">
        <v>0.0</v>
      </c>
      <c r="AC38" s="20">
        <v>0.0</v>
      </c>
      <c r="AD38" s="20">
        <v>0.0</v>
      </c>
      <c r="AE38" s="20">
        <v>0.0</v>
      </c>
      <c r="AF38" s="20">
        <v>0.0</v>
      </c>
      <c r="AG38" s="20">
        <v>0.0</v>
      </c>
      <c r="AH38" s="19">
        <f t="shared" si="9"/>
        <v>234575</v>
      </c>
    </row>
    <row r="39">
      <c r="A39" s="16" t="s">
        <v>39</v>
      </c>
      <c r="B39" s="27">
        <f t="shared" si="7"/>
        <v>0.001145867463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v>0.0</v>
      </c>
      <c r="I39" s="20">
        <v>0.0</v>
      </c>
      <c r="J39" s="20">
        <v>0.0</v>
      </c>
      <c r="K39" s="17">
        <v>47720.0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  <c r="V39" s="20">
        <v>0.0</v>
      </c>
      <c r="W39" s="20">
        <v>0.0</v>
      </c>
      <c r="X39" s="20">
        <v>0.0</v>
      </c>
      <c r="Y39" s="20">
        <v>0.0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>
        <v>0.0</v>
      </c>
      <c r="AH39" s="19">
        <f t="shared" si="9"/>
        <v>47720</v>
      </c>
    </row>
    <row r="40">
      <c r="A40" s="16" t="s">
        <v>40</v>
      </c>
      <c r="B40" s="27">
        <f t="shared" si="7"/>
        <v>0.0006272495783</v>
      </c>
      <c r="C40" s="20">
        <v>0.0</v>
      </c>
      <c r="D40" s="20">
        <v>0.0</v>
      </c>
      <c r="E40" s="20">
        <v>0.0</v>
      </c>
      <c r="F40" s="20">
        <v>0.0</v>
      </c>
      <c r="G40" s="20">
        <v>0.0</v>
      </c>
      <c r="H40" s="20">
        <v>0.0</v>
      </c>
      <c r="I40" s="20">
        <v>0.0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17">
        <v>11811.0</v>
      </c>
      <c r="P40" s="20">
        <v>0.0</v>
      </c>
      <c r="Q40" s="20">
        <v>0.0</v>
      </c>
      <c r="R40" s="20">
        <v>0.0</v>
      </c>
      <c r="S40" s="17">
        <v>14311.0</v>
      </c>
      <c r="T40" s="20">
        <v>0.0</v>
      </c>
      <c r="U40" s="20">
        <v>0.0</v>
      </c>
      <c r="V40" s="20">
        <v>0.0</v>
      </c>
      <c r="W40" s="20">
        <v>0.0</v>
      </c>
      <c r="X40" s="20">
        <v>0.0</v>
      </c>
      <c r="Y40" s="20">
        <v>0.0</v>
      </c>
      <c r="Z40" s="20">
        <v>0.0</v>
      </c>
      <c r="AA40" s="20">
        <v>0.0</v>
      </c>
      <c r="AB40" s="20">
        <v>0.0</v>
      </c>
      <c r="AC40" s="20">
        <v>0.0</v>
      </c>
      <c r="AD40" s="20">
        <v>0.0</v>
      </c>
      <c r="AE40" s="20">
        <v>0.0</v>
      </c>
      <c r="AF40" s="20">
        <v>0.0</v>
      </c>
      <c r="AG40" s="20">
        <v>0.0</v>
      </c>
      <c r="AH40" s="19">
        <f t="shared" si="9"/>
        <v>26122</v>
      </c>
    </row>
    <row r="41">
      <c r="A41" s="16" t="s">
        <v>41</v>
      </c>
      <c r="B41" s="27">
        <f t="shared" si="7"/>
        <v>0.007203693189</v>
      </c>
      <c r="C41" s="20">
        <v>0.0</v>
      </c>
      <c r="D41" s="20">
        <v>0.0</v>
      </c>
      <c r="E41" s="20">
        <v>0.0</v>
      </c>
      <c r="F41" s="20">
        <v>0.0</v>
      </c>
      <c r="G41" s="20">
        <v>0.0</v>
      </c>
      <c r="H41" s="17">
        <v>300000.0</v>
      </c>
      <c r="I41" s="20">
        <v>0.0</v>
      </c>
      <c r="J41" s="20">
        <v>0.0</v>
      </c>
      <c r="K41" s="20">
        <v>0.0</v>
      </c>
      <c r="L41" s="20">
        <v>0.0</v>
      </c>
      <c r="M41" s="20">
        <v>0.0</v>
      </c>
      <c r="N41" s="20">
        <v>0.0</v>
      </c>
      <c r="O41" s="20">
        <v>0.0</v>
      </c>
      <c r="P41" s="20">
        <v>0.0</v>
      </c>
      <c r="Q41" s="20">
        <v>0.0</v>
      </c>
      <c r="R41" s="20">
        <v>0.0</v>
      </c>
      <c r="S41" s="20">
        <v>0.0</v>
      </c>
      <c r="T41" s="20">
        <v>0.0</v>
      </c>
      <c r="U41" s="20">
        <v>0.0</v>
      </c>
      <c r="V41" s="20">
        <v>0.0</v>
      </c>
      <c r="W41" s="20">
        <v>0.0</v>
      </c>
      <c r="X41" s="20">
        <v>0.0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20">
        <v>0.0</v>
      </c>
      <c r="AE41" s="20">
        <v>0.0</v>
      </c>
      <c r="AF41" s="20">
        <v>0.0</v>
      </c>
      <c r="AG41" s="20">
        <v>0.0</v>
      </c>
      <c r="AH41" s="19">
        <f t="shared" si="9"/>
        <v>300000</v>
      </c>
    </row>
    <row r="42">
      <c r="A42" s="16" t="s">
        <v>42</v>
      </c>
      <c r="B42" s="27">
        <f t="shared" si="7"/>
        <v>0.04385514766</v>
      </c>
      <c r="C42" s="20">
        <v>0.0</v>
      </c>
      <c r="D42" s="20">
        <v>0.0</v>
      </c>
      <c r="E42" s="20">
        <v>0.0</v>
      </c>
      <c r="F42" s="20">
        <v>0.0</v>
      </c>
      <c r="G42" s="20">
        <v>0.0</v>
      </c>
      <c r="H42" s="17">
        <v>1826361.0</v>
      </c>
      <c r="I42" s="20">
        <v>0.0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0.0</v>
      </c>
      <c r="AF42" s="20">
        <v>0.0</v>
      </c>
      <c r="AG42" s="20">
        <v>0.0</v>
      </c>
      <c r="AH42" s="19">
        <f t="shared" si="9"/>
        <v>1826361</v>
      </c>
    </row>
    <row r="43">
      <c r="A43" s="16" t="s">
        <v>43</v>
      </c>
      <c r="B43" s="27">
        <f t="shared" si="7"/>
        <v>0.002829850808</v>
      </c>
      <c r="C43" s="20">
        <v>0.0</v>
      </c>
      <c r="D43" s="20">
        <v>0.0</v>
      </c>
      <c r="E43" s="20">
        <v>0.0</v>
      </c>
      <c r="F43" s="20">
        <v>0.0</v>
      </c>
      <c r="G43" s="20">
        <v>0.0</v>
      </c>
      <c r="H43" s="20">
        <v>0.0</v>
      </c>
      <c r="I43" s="20">
        <v>0.0</v>
      </c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17">
        <v>117850.0</v>
      </c>
      <c r="W43" s="20">
        <v>0.0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20">
        <v>0.0</v>
      </c>
      <c r="AD43" s="20">
        <v>0.0</v>
      </c>
      <c r="AE43" s="20">
        <v>0.0</v>
      </c>
      <c r="AF43" s="20">
        <v>0.0</v>
      </c>
      <c r="AG43" s="20">
        <v>0.0</v>
      </c>
      <c r="AH43" s="19">
        <f t="shared" si="9"/>
        <v>117850</v>
      </c>
    </row>
    <row r="44">
      <c r="A44" s="28" t="s">
        <v>44</v>
      </c>
      <c r="B44" s="27">
        <f t="shared" si="7"/>
        <v>0.003313506769</v>
      </c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20">
        <v>0.0</v>
      </c>
      <c r="J44" s="20">
        <v>0.0</v>
      </c>
      <c r="K44" s="17">
        <v>68996.0</v>
      </c>
      <c r="L44" s="20">
        <v>0.0</v>
      </c>
      <c r="M44" s="20">
        <v>0.0</v>
      </c>
      <c r="N44" s="20">
        <v>0.0</v>
      </c>
      <c r="O44" s="20">
        <v>0.0</v>
      </c>
      <c r="P44" s="20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17">
        <v>68996.0</v>
      </c>
      <c r="W44" s="20">
        <v>0.0</v>
      </c>
      <c r="X44" s="20">
        <v>0.0</v>
      </c>
      <c r="Y44" s="20">
        <v>0.0</v>
      </c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20"/>
      <c r="AF44" s="20"/>
      <c r="AG44" s="20"/>
      <c r="AH44" s="19">
        <f t="shared" si="9"/>
        <v>137992</v>
      </c>
    </row>
    <row r="45">
      <c r="A45" s="16" t="s">
        <v>45</v>
      </c>
      <c r="B45" s="27">
        <f t="shared" si="7"/>
        <v>0.004331100469</v>
      </c>
      <c r="C45" s="20">
        <v>0.0</v>
      </c>
      <c r="D45" s="20">
        <v>0.0</v>
      </c>
      <c r="E45" s="20">
        <v>0.0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0">
        <v>0.0</v>
      </c>
      <c r="M45" s="20">
        <v>0.0</v>
      </c>
      <c r="N45" s="17">
        <v>165910.0</v>
      </c>
      <c r="O45" s="20">
        <v>0.0</v>
      </c>
      <c r="P45" s="17">
        <v>14460.0</v>
      </c>
      <c r="Q45" s="20">
        <v>0.0</v>
      </c>
      <c r="R45" s="20">
        <v>0.0</v>
      </c>
      <c r="S45" s="20">
        <v>0.0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20">
        <v>0.0</v>
      </c>
      <c r="AA45" s="20">
        <v>0.0</v>
      </c>
      <c r="AB45" s="20">
        <v>0.0</v>
      </c>
      <c r="AC45" s="20">
        <v>0.0</v>
      </c>
      <c r="AD45" s="20">
        <v>0.0</v>
      </c>
      <c r="AE45" s="20">
        <v>0.0</v>
      </c>
      <c r="AF45" s="20">
        <v>0.0</v>
      </c>
      <c r="AG45" s="20">
        <v>0.0</v>
      </c>
      <c r="AH45" s="19">
        <f t="shared" si="9"/>
        <v>180370</v>
      </c>
    </row>
    <row r="46">
      <c r="A46" s="16" t="s">
        <v>46</v>
      </c>
      <c r="B46" s="27">
        <f t="shared" si="7"/>
        <v>0.007421004601</v>
      </c>
      <c r="C46" s="20">
        <v>0.0</v>
      </c>
      <c r="D46" s="20">
        <v>0.0</v>
      </c>
      <c r="E46" s="20">
        <v>0.0</v>
      </c>
      <c r="F46" s="20">
        <v>0.0</v>
      </c>
      <c r="G46" s="20">
        <v>0.0</v>
      </c>
      <c r="H46" s="20">
        <v>0.0</v>
      </c>
      <c r="I46" s="20">
        <v>0.0</v>
      </c>
      <c r="J46" s="20">
        <v>0.0</v>
      </c>
      <c r="K46" s="20">
        <v>0.0</v>
      </c>
      <c r="L46" s="17">
        <v>30990.0</v>
      </c>
      <c r="M46" s="20">
        <v>0.0</v>
      </c>
      <c r="N46" s="17">
        <v>199070.0</v>
      </c>
      <c r="O46" s="17">
        <v>39000.0</v>
      </c>
      <c r="P46" s="17">
        <v>39990.0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  <c r="V46" s="20">
        <v>0.0</v>
      </c>
      <c r="W46" s="20">
        <v>0.0</v>
      </c>
      <c r="X46" s="20">
        <v>0.0</v>
      </c>
      <c r="Y46" s="20">
        <v>0.0</v>
      </c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20">
        <v>0.0</v>
      </c>
      <c r="AF46" s="20">
        <v>0.0</v>
      </c>
      <c r="AG46" s="20">
        <v>0.0</v>
      </c>
      <c r="AH46" s="19">
        <f t="shared" si="9"/>
        <v>309050</v>
      </c>
    </row>
    <row r="47">
      <c r="A47" s="16" t="s">
        <v>47</v>
      </c>
      <c r="B47" s="27">
        <f t="shared" si="7"/>
        <v>0.004178046001</v>
      </c>
      <c r="C47" s="20">
        <v>0.0</v>
      </c>
      <c r="D47" s="20">
        <v>0.0</v>
      </c>
      <c r="E47" s="20">
        <v>0.0</v>
      </c>
      <c r="F47" s="20">
        <v>0.0</v>
      </c>
      <c r="G47" s="20">
        <v>0.0</v>
      </c>
      <c r="H47" s="20">
        <v>0.0</v>
      </c>
      <c r="I47" s="20">
        <v>0.0</v>
      </c>
      <c r="J47" s="20">
        <v>0.0</v>
      </c>
      <c r="K47" s="17">
        <v>68996.0</v>
      </c>
      <c r="L47" s="20">
        <v>0.0</v>
      </c>
      <c r="M47" s="20">
        <v>0.0</v>
      </c>
      <c r="N47" s="20">
        <v>0.0</v>
      </c>
      <c r="O47" s="20">
        <v>0.0</v>
      </c>
      <c r="P47" s="17">
        <v>105000.0</v>
      </c>
      <c r="Q47" s="20">
        <v>0.0</v>
      </c>
      <c r="R47" s="20">
        <v>0.0</v>
      </c>
      <c r="S47" s="20">
        <v>0.0</v>
      </c>
      <c r="T47" s="20">
        <v>0.0</v>
      </c>
      <c r="U47" s="20">
        <v>0.0</v>
      </c>
      <c r="V47" s="20">
        <v>0.0</v>
      </c>
      <c r="W47" s="20">
        <v>0.0</v>
      </c>
      <c r="X47" s="20">
        <v>0.0</v>
      </c>
      <c r="Y47" s="20">
        <v>0.0</v>
      </c>
      <c r="Z47" s="17">
        <v>0.0</v>
      </c>
      <c r="AA47" s="20">
        <v>0.0</v>
      </c>
      <c r="AB47" s="20">
        <v>0.0</v>
      </c>
      <c r="AC47" s="20">
        <v>0.0</v>
      </c>
      <c r="AD47" s="20">
        <v>0.0</v>
      </c>
      <c r="AE47" s="20">
        <v>0.0</v>
      </c>
      <c r="AF47" s="20">
        <v>0.0</v>
      </c>
      <c r="AG47" s="20">
        <v>0.0</v>
      </c>
      <c r="AH47" s="19">
        <f t="shared" si="9"/>
        <v>173996</v>
      </c>
    </row>
    <row r="48">
      <c r="A48" s="16" t="s">
        <v>48</v>
      </c>
      <c r="B48" s="27">
        <f t="shared" si="7"/>
        <v>0.004682400573</v>
      </c>
      <c r="C48" s="20">
        <v>0.0</v>
      </c>
      <c r="D48" s="20">
        <v>0.0</v>
      </c>
      <c r="E48" s="20">
        <v>0.0</v>
      </c>
      <c r="F48" s="20">
        <v>0.0</v>
      </c>
      <c r="G48" s="20">
        <v>0.0</v>
      </c>
      <c r="H48" s="17">
        <f>35000+140000</f>
        <v>175000</v>
      </c>
      <c r="I48" s="20">
        <v>0.0</v>
      </c>
      <c r="J48" s="20">
        <v>0.0</v>
      </c>
      <c r="K48" s="20">
        <v>0.0</v>
      </c>
      <c r="L48" s="20">
        <v>0.0</v>
      </c>
      <c r="M48" s="20">
        <v>0.0</v>
      </c>
      <c r="N48" s="20">
        <v>0.0</v>
      </c>
      <c r="O48" s="20">
        <v>0.0</v>
      </c>
      <c r="P48" s="20">
        <v>0.0</v>
      </c>
      <c r="Q48" s="20">
        <v>0.0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17">
        <v>20000.0</v>
      </c>
      <c r="Z48" s="20">
        <v>0.0</v>
      </c>
      <c r="AA48" s="20">
        <v>0.0</v>
      </c>
      <c r="AB48" s="20">
        <v>0.0</v>
      </c>
      <c r="AC48" s="20">
        <v>0.0</v>
      </c>
      <c r="AD48" s="20">
        <v>0.0</v>
      </c>
      <c r="AE48" s="20">
        <v>0.0</v>
      </c>
      <c r="AF48" s="20">
        <v>0.0</v>
      </c>
      <c r="AG48" s="20">
        <v>0.0</v>
      </c>
      <c r="AH48" s="19">
        <f t="shared" si="9"/>
        <v>195000</v>
      </c>
    </row>
    <row r="49">
      <c r="A49" s="16" t="s">
        <v>49</v>
      </c>
      <c r="B49" s="27">
        <f t="shared" si="7"/>
        <v>0.003488268365</v>
      </c>
      <c r="C49" s="20">
        <v>0.0</v>
      </c>
      <c r="D49" s="20">
        <v>0.0</v>
      </c>
      <c r="E49" s="20">
        <v>0.0</v>
      </c>
      <c r="F49" s="20">
        <v>0.0</v>
      </c>
      <c r="G49" s="20">
        <v>0.0</v>
      </c>
      <c r="H49" s="17">
        <v>80000.0</v>
      </c>
      <c r="I49" s="20">
        <v>0.0</v>
      </c>
      <c r="J49" s="20">
        <v>0.0</v>
      </c>
      <c r="K49" s="20">
        <v>0.0</v>
      </c>
      <c r="L49" s="17">
        <v>11790.0</v>
      </c>
      <c r="M49" s="17">
        <v>11790.0</v>
      </c>
      <c r="N49" s="20">
        <v>0.0</v>
      </c>
      <c r="O49" s="20">
        <v>0.0</v>
      </c>
      <c r="P49" s="20">
        <v>0.0</v>
      </c>
      <c r="Q49" s="20">
        <v>0.0</v>
      </c>
      <c r="R49" s="20">
        <v>0.0</v>
      </c>
      <c r="S49" s="20">
        <v>0.0</v>
      </c>
      <c r="T49" s="20">
        <v>0.0</v>
      </c>
      <c r="U49" s="20">
        <v>0.0</v>
      </c>
      <c r="V49" s="20">
        <v>0.0</v>
      </c>
      <c r="W49" s="20">
        <v>0.0</v>
      </c>
      <c r="X49" s="20">
        <v>0.0</v>
      </c>
      <c r="Y49" s="17">
        <v>29900.0</v>
      </c>
      <c r="Z49" s="17">
        <v>11790.0</v>
      </c>
      <c r="AA49" s="20">
        <v>0.0</v>
      </c>
      <c r="AB49" s="20">
        <v>0.0</v>
      </c>
      <c r="AC49" s="20">
        <v>0.0</v>
      </c>
      <c r="AD49" s="20">
        <v>0.0</v>
      </c>
      <c r="AE49" s="20">
        <v>0.0</v>
      </c>
      <c r="AF49" s="20">
        <v>0.0</v>
      </c>
      <c r="AG49" s="20">
        <v>0.0</v>
      </c>
      <c r="AH49" s="19">
        <f t="shared" si="9"/>
        <v>145270</v>
      </c>
    </row>
    <row r="50">
      <c r="A50" s="16" t="s">
        <v>50</v>
      </c>
      <c r="B50" s="27">
        <f t="shared" si="7"/>
        <v>0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20">
        <v>0.0</v>
      </c>
      <c r="N50" s="20">
        <v>0.0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20">
        <v>0.0</v>
      </c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20">
        <v>0.0</v>
      </c>
      <c r="AF50" s="20">
        <v>0.0</v>
      </c>
      <c r="AG50" s="20">
        <v>0.0</v>
      </c>
      <c r="AH50" s="19">
        <f t="shared" si="9"/>
        <v>0</v>
      </c>
    </row>
    <row r="51">
      <c r="A51" s="16" t="s">
        <v>51</v>
      </c>
      <c r="B51" s="27">
        <f t="shared" si="7"/>
        <v>0</v>
      </c>
      <c r="C51" s="20">
        <v>0.0</v>
      </c>
      <c r="D51" s="20">
        <v>0.0</v>
      </c>
      <c r="E51" s="20">
        <v>0.0</v>
      </c>
      <c r="F51" s="20">
        <v>0.0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  <c r="V51" s="20">
        <v>0.0</v>
      </c>
      <c r="W51" s="20">
        <v>0.0</v>
      </c>
      <c r="X51" s="20">
        <v>0.0</v>
      </c>
      <c r="Y51" s="20">
        <v>0.0</v>
      </c>
      <c r="Z51" s="20">
        <v>0.0</v>
      </c>
      <c r="AA51" s="20">
        <v>0.0</v>
      </c>
      <c r="AB51" s="20">
        <v>0.0</v>
      </c>
      <c r="AC51" s="20">
        <v>0.0</v>
      </c>
      <c r="AD51" s="20">
        <v>0.0</v>
      </c>
      <c r="AE51" s="20">
        <v>0.0</v>
      </c>
      <c r="AF51" s="20">
        <v>0.0</v>
      </c>
      <c r="AG51" s="20">
        <v>0.0</v>
      </c>
      <c r="AH51" s="19">
        <f t="shared" si="9"/>
        <v>0</v>
      </c>
    </row>
    <row r="52">
      <c r="A52" s="16" t="s">
        <v>52</v>
      </c>
      <c r="B52" s="27">
        <f t="shared" si="7"/>
        <v>0.07062354328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0">
        <v>0.0</v>
      </c>
      <c r="M52" s="20">
        <v>0.0</v>
      </c>
      <c r="N52" s="17">
        <v>2941139.0</v>
      </c>
      <c r="O52" s="20">
        <v>0.0</v>
      </c>
      <c r="P52" s="20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20">
        <v>0.0</v>
      </c>
      <c r="X52" s="20">
        <v>0.0</v>
      </c>
      <c r="Y52" s="20">
        <v>0.0</v>
      </c>
      <c r="Z52" s="20">
        <v>0.0</v>
      </c>
      <c r="AA52" s="20">
        <v>0.0</v>
      </c>
      <c r="AB52" s="20">
        <v>0.0</v>
      </c>
      <c r="AC52" s="20">
        <v>0.0</v>
      </c>
      <c r="AD52" s="20">
        <v>0.0</v>
      </c>
      <c r="AE52" s="20">
        <v>0.0</v>
      </c>
      <c r="AF52" s="20">
        <v>0.0</v>
      </c>
      <c r="AG52" s="20">
        <v>0.0</v>
      </c>
      <c r="AH52" s="19">
        <f t="shared" si="9"/>
        <v>2941139</v>
      </c>
    </row>
    <row r="53">
      <c r="A53" s="35" t="s">
        <v>53</v>
      </c>
      <c r="B53" s="36">
        <f t="shared" si="7"/>
        <v>0.005626516603</v>
      </c>
      <c r="C53" s="37">
        <f t="shared" ref="C53:AE53" si="10">sum(C54:C61)</f>
        <v>0</v>
      </c>
      <c r="D53" s="37">
        <f t="shared" si="10"/>
        <v>0</v>
      </c>
      <c r="E53" s="37">
        <f t="shared" si="10"/>
        <v>0</v>
      </c>
      <c r="F53" s="37">
        <f t="shared" si="10"/>
        <v>0</v>
      </c>
      <c r="G53" s="37">
        <f t="shared" si="10"/>
        <v>13000</v>
      </c>
      <c r="H53" s="37">
        <f t="shared" si="10"/>
        <v>3937</v>
      </c>
      <c r="I53" s="37">
        <f t="shared" si="10"/>
        <v>0</v>
      </c>
      <c r="J53" s="37">
        <f t="shared" si="10"/>
        <v>111001</v>
      </c>
      <c r="K53" s="37">
        <f t="shared" si="10"/>
        <v>0</v>
      </c>
      <c r="L53" s="37">
        <f t="shared" si="10"/>
        <v>0</v>
      </c>
      <c r="M53" s="37">
        <f t="shared" si="10"/>
        <v>10880</v>
      </c>
      <c r="N53" s="37">
        <f t="shared" si="10"/>
        <v>0</v>
      </c>
      <c r="O53" s="37">
        <f t="shared" si="10"/>
        <v>0</v>
      </c>
      <c r="P53" s="37">
        <f t="shared" si="10"/>
        <v>0</v>
      </c>
      <c r="Q53" s="37">
        <f t="shared" si="10"/>
        <v>0</v>
      </c>
      <c r="R53" s="37">
        <f t="shared" si="10"/>
        <v>28800</v>
      </c>
      <c r="S53" s="37">
        <f t="shared" si="10"/>
        <v>0</v>
      </c>
      <c r="T53" s="37">
        <f t="shared" si="10"/>
        <v>0</v>
      </c>
      <c r="U53" s="37">
        <f t="shared" si="10"/>
        <v>0</v>
      </c>
      <c r="V53" s="37">
        <f t="shared" si="10"/>
        <v>0</v>
      </c>
      <c r="W53" s="37">
        <f t="shared" si="10"/>
        <v>60000</v>
      </c>
      <c r="X53" s="37">
        <f t="shared" si="10"/>
        <v>0</v>
      </c>
      <c r="Y53" s="37">
        <f t="shared" si="10"/>
        <v>0</v>
      </c>
      <c r="Z53" s="37">
        <f t="shared" si="10"/>
        <v>0</v>
      </c>
      <c r="AA53" s="37">
        <f t="shared" si="10"/>
        <v>2200</v>
      </c>
      <c r="AB53" s="37">
        <f t="shared" si="10"/>
        <v>4500</v>
      </c>
      <c r="AC53" s="37">
        <f t="shared" si="10"/>
        <v>0</v>
      </c>
      <c r="AD53" s="37">
        <f t="shared" si="10"/>
        <v>0</v>
      </c>
      <c r="AE53" s="37">
        <f t="shared" si="10"/>
        <v>0</v>
      </c>
      <c r="AF53" s="37">
        <f>SUM(AF54:AF61)</f>
        <v>0</v>
      </c>
      <c r="AG53" s="37">
        <f>sum(AG54:AG61)</f>
        <v>0</v>
      </c>
      <c r="AH53" s="38">
        <f>SUM(AH54:AH61)</f>
        <v>234318</v>
      </c>
    </row>
    <row r="54">
      <c r="A54" s="16" t="s">
        <v>54</v>
      </c>
      <c r="B54" s="27">
        <f t="shared" si="7"/>
        <v>0.00009453646696</v>
      </c>
      <c r="C54" s="20">
        <v>0.0</v>
      </c>
      <c r="D54" s="20">
        <v>0.0</v>
      </c>
      <c r="E54" s="20">
        <v>0.0</v>
      </c>
      <c r="F54" s="20">
        <v>0.0</v>
      </c>
      <c r="G54" s="20">
        <v>0.0</v>
      </c>
      <c r="H54" s="17">
        <v>3937.0</v>
      </c>
      <c r="I54" s="20">
        <v>0.0</v>
      </c>
      <c r="J54" s="20">
        <v>0.0</v>
      </c>
      <c r="K54" s="20">
        <v>0.0</v>
      </c>
      <c r="L54" s="20">
        <v>0.0</v>
      </c>
      <c r="M54" s="20">
        <v>0.0</v>
      </c>
      <c r="N54" s="20">
        <v>0.0</v>
      </c>
      <c r="O54" s="20">
        <v>0.0</v>
      </c>
      <c r="P54" s="20">
        <v>0.0</v>
      </c>
      <c r="Q54" s="20">
        <v>0.0</v>
      </c>
      <c r="R54" s="20">
        <v>0.0</v>
      </c>
      <c r="S54" s="20">
        <v>0.0</v>
      </c>
      <c r="T54" s="20">
        <v>0.0</v>
      </c>
      <c r="U54" s="20">
        <v>0.0</v>
      </c>
      <c r="V54" s="20">
        <v>0.0</v>
      </c>
      <c r="W54" s="20">
        <v>0.0</v>
      </c>
      <c r="X54" s="20">
        <v>0.0</v>
      </c>
      <c r="Y54" s="20">
        <v>0.0</v>
      </c>
      <c r="Z54" s="20">
        <v>0.0</v>
      </c>
      <c r="AA54" s="20">
        <v>0.0</v>
      </c>
      <c r="AB54" s="20">
        <v>0.0</v>
      </c>
      <c r="AC54" s="20">
        <v>0.0</v>
      </c>
      <c r="AD54" s="20">
        <v>0.0</v>
      </c>
      <c r="AE54" s="20">
        <v>0.0</v>
      </c>
      <c r="AF54" s="20">
        <v>0.0</v>
      </c>
      <c r="AG54" s="20">
        <v>0.0</v>
      </c>
      <c r="AH54" s="19">
        <f t="shared" ref="AH54:AH61" si="11">SUM(C54:AG54)</f>
        <v>3937</v>
      </c>
    </row>
    <row r="55">
      <c r="A55" s="16" t="s">
        <v>55</v>
      </c>
      <c r="B55" s="27">
        <f t="shared" si="7"/>
        <v>0.001440738638</v>
      </c>
      <c r="C55" s="20">
        <v>0.0</v>
      </c>
      <c r="D55" s="20">
        <v>0.0</v>
      </c>
      <c r="E55" s="20">
        <v>0.0</v>
      </c>
      <c r="F55" s="20">
        <v>0.0</v>
      </c>
      <c r="G55" s="20">
        <v>0.0</v>
      </c>
      <c r="H55" s="20">
        <v>0.0</v>
      </c>
      <c r="I55" s="20">
        <v>0.0</v>
      </c>
      <c r="J55" s="20">
        <v>0.0</v>
      </c>
      <c r="K55" s="20">
        <v>0.0</v>
      </c>
      <c r="L55" s="20">
        <v>0.0</v>
      </c>
      <c r="M55" s="20">
        <v>0.0</v>
      </c>
      <c r="N55" s="20">
        <v>0.0</v>
      </c>
      <c r="O55" s="20">
        <v>0.0</v>
      </c>
      <c r="P55" s="20">
        <v>0.0</v>
      </c>
      <c r="Q55" s="20">
        <v>0.0</v>
      </c>
      <c r="R55" s="20">
        <v>0.0</v>
      </c>
      <c r="S55" s="20">
        <v>0.0</v>
      </c>
      <c r="T55" s="20">
        <v>0.0</v>
      </c>
      <c r="U55" s="20">
        <v>0.0</v>
      </c>
      <c r="V55" s="20">
        <v>0.0</v>
      </c>
      <c r="W55" s="17">
        <v>60000.0</v>
      </c>
      <c r="X55" s="20">
        <v>0.0</v>
      </c>
      <c r="Y55" s="20">
        <v>0.0</v>
      </c>
      <c r="Z55" s="20">
        <v>0.0</v>
      </c>
      <c r="AA55" s="20">
        <v>0.0</v>
      </c>
      <c r="AB55" s="20">
        <v>0.0</v>
      </c>
      <c r="AC55" s="20">
        <v>0.0</v>
      </c>
      <c r="AD55" s="20">
        <v>0.0</v>
      </c>
      <c r="AE55" s="20">
        <v>0.0</v>
      </c>
      <c r="AF55" s="20">
        <v>0.0</v>
      </c>
      <c r="AG55" s="20">
        <v>0.0</v>
      </c>
      <c r="AH55" s="19">
        <f t="shared" si="11"/>
        <v>60000</v>
      </c>
    </row>
    <row r="56">
      <c r="A56" s="16" t="s">
        <v>56</v>
      </c>
      <c r="B56" s="27">
        <f t="shared" si="7"/>
        <v>0</v>
      </c>
      <c r="C56" s="20">
        <v>0.0</v>
      </c>
      <c r="D56" s="20">
        <v>0.0</v>
      </c>
      <c r="E56" s="20">
        <v>0.0</v>
      </c>
      <c r="F56" s="20">
        <v>0.0</v>
      </c>
      <c r="G56" s="20">
        <v>0.0</v>
      </c>
      <c r="H56" s="20">
        <v>0.0</v>
      </c>
      <c r="I56" s="20">
        <v>0.0</v>
      </c>
      <c r="J56" s="20">
        <v>0.0</v>
      </c>
      <c r="K56" s="20">
        <v>0.0</v>
      </c>
      <c r="L56" s="20">
        <v>0.0</v>
      </c>
      <c r="M56" s="20">
        <v>0.0</v>
      </c>
      <c r="N56" s="20">
        <v>0.0</v>
      </c>
      <c r="O56" s="20">
        <v>0.0</v>
      </c>
      <c r="P56" s="20">
        <v>0.0</v>
      </c>
      <c r="Q56" s="20">
        <v>0.0</v>
      </c>
      <c r="R56" s="20">
        <v>0.0</v>
      </c>
      <c r="S56" s="20">
        <v>0.0</v>
      </c>
      <c r="T56" s="20">
        <v>0.0</v>
      </c>
      <c r="U56" s="20">
        <v>0.0</v>
      </c>
      <c r="V56" s="20">
        <v>0.0</v>
      </c>
      <c r="W56" s="20">
        <v>0.0</v>
      </c>
      <c r="X56" s="20">
        <v>0.0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20">
        <v>0.0</v>
      </c>
      <c r="AF56" s="20">
        <v>0.0</v>
      </c>
      <c r="AG56" s="20">
        <v>0.0</v>
      </c>
      <c r="AH56" s="19">
        <f t="shared" si="11"/>
        <v>0</v>
      </c>
    </row>
    <row r="57">
      <c r="A57" s="16" t="s">
        <v>57</v>
      </c>
      <c r="B57" s="27">
        <f t="shared" si="7"/>
        <v>0.0007342964591</v>
      </c>
      <c r="C57" s="20">
        <v>0.0</v>
      </c>
      <c r="D57" s="20">
        <v>0.0</v>
      </c>
      <c r="E57" s="20">
        <v>0.0</v>
      </c>
      <c r="F57" s="20">
        <v>0.0</v>
      </c>
      <c r="G57" s="17">
        <v>13000.0</v>
      </c>
      <c r="H57" s="20">
        <v>0.0</v>
      </c>
      <c r="I57" s="20">
        <v>0.0</v>
      </c>
      <c r="J57" s="20">
        <v>0.0</v>
      </c>
      <c r="K57" s="20">
        <v>0.0</v>
      </c>
      <c r="L57" s="20">
        <v>0.0</v>
      </c>
      <c r="M57" s="17">
        <v>10880.0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  <c r="V57" s="20">
        <v>0.0</v>
      </c>
      <c r="W57" s="20">
        <v>0.0</v>
      </c>
      <c r="X57" s="20">
        <v>0.0</v>
      </c>
      <c r="Y57" s="20">
        <v>0.0</v>
      </c>
      <c r="Z57" s="20">
        <v>0.0</v>
      </c>
      <c r="AA57" s="17">
        <v>2200.0</v>
      </c>
      <c r="AB57" s="17">
        <v>4500.0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19">
        <f t="shared" si="11"/>
        <v>30580</v>
      </c>
    </row>
    <row r="58">
      <c r="A58" s="16" t="s">
        <v>58</v>
      </c>
      <c r="B58" s="27">
        <f t="shared" si="7"/>
        <v>0</v>
      </c>
      <c r="C58" s="20">
        <v>0.0</v>
      </c>
      <c r="D58" s="20">
        <v>0.0</v>
      </c>
      <c r="E58" s="20">
        <v>0.0</v>
      </c>
      <c r="F58" s="20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0">
        <v>0.0</v>
      </c>
      <c r="M58" s="20">
        <v>0.0</v>
      </c>
      <c r="N58" s="20">
        <v>0.0</v>
      </c>
      <c r="O58" s="20">
        <v>0.0</v>
      </c>
      <c r="P58" s="20">
        <v>0.0</v>
      </c>
      <c r="Q58" s="20">
        <v>0.0</v>
      </c>
      <c r="R58" s="20">
        <v>0.0</v>
      </c>
      <c r="S58" s="20">
        <v>0.0</v>
      </c>
      <c r="T58" s="20">
        <v>0.0</v>
      </c>
      <c r="U58" s="20">
        <v>0.0</v>
      </c>
      <c r="V58" s="20">
        <v>0.0</v>
      </c>
      <c r="W58" s="20">
        <v>0.0</v>
      </c>
      <c r="X58" s="20">
        <v>0.0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20">
        <v>0.0</v>
      </c>
      <c r="AE58" s="20">
        <v>0.0</v>
      </c>
      <c r="AF58" s="20">
        <v>0.0</v>
      </c>
      <c r="AG58" s="20">
        <v>0.0</v>
      </c>
      <c r="AH58" s="19">
        <f t="shared" si="11"/>
        <v>0</v>
      </c>
    </row>
    <row r="59">
      <c r="A59" s="16" t="s">
        <v>59</v>
      </c>
      <c r="B59" s="27">
        <f t="shared" si="7"/>
        <v>0.003356945039</v>
      </c>
      <c r="C59" s="20">
        <v>0.0</v>
      </c>
      <c r="D59" s="20">
        <v>0.0</v>
      </c>
      <c r="E59" s="20">
        <v>0.0</v>
      </c>
      <c r="F59" s="20">
        <v>0.0</v>
      </c>
      <c r="G59" s="20">
        <v>0.0</v>
      </c>
      <c r="H59" s="20">
        <v>0.0</v>
      </c>
      <c r="I59" s="20">
        <v>0.0</v>
      </c>
      <c r="J59" s="20">
        <f>50601+30100+30300</f>
        <v>111001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17">
        <v>28800.0</v>
      </c>
      <c r="S59" s="20">
        <v>0.0</v>
      </c>
      <c r="T59" s="20">
        <v>0.0</v>
      </c>
      <c r="U59" s="20">
        <v>0.0</v>
      </c>
      <c r="V59" s="20">
        <v>0.0</v>
      </c>
      <c r="W59" s="20">
        <v>0.0</v>
      </c>
      <c r="X59" s="20">
        <v>0.0</v>
      </c>
      <c r="Y59" s="20">
        <v>0.0</v>
      </c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20">
        <v>0.0</v>
      </c>
      <c r="AF59" s="20">
        <v>0.0</v>
      </c>
      <c r="AG59" s="20">
        <v>0.0</v>
      </c>
      <c r="AH59" s="19">
        <f t="shared" si="11"/>
        <v>139801</v>
      </c>
    </row>
    <row r="60">
      <c r="A60" s="16" t="s">
        <v>60</v>
      </c>
      <c r="B60" s="27">
        <f t="shared" si="7"/>
        <v>0</v>
      </c>
      <c r="C60" s="20">
        <v>0.0</v>
      </c>
      <c r="D60" s="20">
        <v>0.0</v>
      </c>
      <c r="E60" s="20">
        <v>0.0</v>
      </c>
      <c r="F60" s="20">
        <v>0.0</v>
      </c>
      <c r="G60" s="20">
        <v>0.0</v>
      </c>
      <c r="H60" s="20">
        <v>0.0</v>
      </c>
      <c r="I60" s="20">
        <v>0.0</v>
      </c>
      <c r="J60" s="20">
        <v>0.0</v>
      </c>
      <c r="K60" s="20">
        <v>0.0</v>
      </c>
      <c r="L60" s="20">
        <v>0.0</v>
      </c>
      <c r="M60" s="20">
        <v>0.0</v>
      </c>
      <c r="N60" s="20">
        <v>0.0</v>
      </c>
      <c r="O60" s="20">
        <v>0.0</v>
      </c>
      <c r="P60" s="20">
        <v>0.0</v>
      </c>
      <c r="Q60" s="20">
        <v>0.0</v>
      </c>
      <c r="R60" s="20">
        <v>0.0</v>
      </c>
      <c r="S60" s="20">
        <v>0.0</v>
      </c>
      <c r="T60" s="20">
        <v>0.0</v>
      </c>
      <c r="U60" s="20">
        <v>0.0</v>
      </c>
      <c r="V60" s="20">
        <v>0.0</v>
      </c>
      <c r="W60" s="20">
        <v>0.0</v>
      </c>
      <c r="X60" s="20">
        <v>0.0</v>
      </c>
      <c r="Y60" s="20">
        <v>0.0</v>
      </c>
      <c r="Z60" s="20">
        <v>0.0</v>
      </c>
      <c r="AA60" s="20">
        <v>0.0</v>
      </c>
      <c r="AB60" s="20">
        <v>0.0</v>
      </c>
      <c r="AC60" s="20">
        <v>0.0</v>
      </c>
      <c r="AD60" s="20">
        <v>0.0</v>
      </c>
      <c r="AE60" s="20">
        <v>0.0</v>
      </c>
      <c r="AF60" s="20">
        <v>0.0</v>
      </c>
      <c r="AG60" s="20">
        <v>0.0</v>
      </c>
      <c r="AH60" s="19">
        <f t="shared" si="11"/>
        <v>0</v>
      </c>
    </row>
    <row r="61">
      <c r="A61" s="16" t="s">
        <v>61</v>
      </c>
      <c r="B61" s="27">
        <f t="shared" si="7"/>
        <v>0</v>
      </c>
      <c r="C61" s="20">
        <v>0.0</v>
      </c>
      <c r="D61" s="20">
        <v>0.0</v>
      </c>
      <c r="E61" s="20">
        <v>0.0</v>
      </c>
      <c r="F61" s="20">
        <v>0.0</v>
      </c>
      <c r="G61" s="20">
        <v>0.0</v>
      </c>
      <c r="H61" s="20">
        <v>0.0</v>
      </c>
      <c r="I61" s="20">
        <v>0.0</v>
      </c>
      <c r="J61" s="20">
        <v>0.0</v>
      </c>
      <c r="K61" s="20">
        <v>0.0</v>
      </c>
      <c r="L61" s="20">
        <v>0.0</v>
      </c>
      <c r="M61" s="20">
        <v>0.0</v>
      </c>
      <c r="N61" s="20">
        <v>0.0</v>
      </c>
      <c r="O61" s="20">
        <v>0.0</v>
      </c>
      <c r="P61" s="20">
        <v>0.0</v>
      </c>
      <c r="Q61" s="20">
        <v>0.0</v>
      </c>
      <c r="R61" s="20">
        <v>0.0</v>
      </c>
      <c r="S61" s="20">
        <v>0.0</v>
      </c>
      <c r="T61" s="20">
        <v>0.0</v>
      </c>
      <c r="U61" s="20">
        <v>0.0</v>
      </c>
      <c r="V61" s="20">
        <v>0.0</v>
      </c>
      <c r="W61" s="20">
        <v>0.0</v>
      </c>
      <c r="X61" s="20">
        <v>0.0</v>
      </c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19">
        <f t="shared" si="11"/>
        <v>0</v>
      </c>
    </row>
    <row r="62">
      <c r="A62" s="7"/>
      <c r="B62" s="8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35" t="s">
        <v>62</v>
      </c>
      <c r="B63" s="36">
        <f t="shared" ref="B63:B74" si="14">AH63/$AH$10</f>
        <v>0.02738171806</v>
      </c>
      <c r="C63" s="37">
        <f t="shared" ref="C63:AB63" si="12">sum(C64:C73)</f>
        <v>0</v>
      </c>
      <c r="D63" s="37">
        <f t="shared" si="12"/>
        <v>0</v>
      </c>
      <c r="E63" s="37">
        <f t="shared" si="12"/>
        <v>58245</v>
      </c>
      <c r="F63" s="37">
        <f t="shared" si="12"/>
        <v>0</v>
      </c>
      <c r="G63" s="37">
        <f t="shared" si="12"/>
        <v>0</v>
      </c>
      <c r="H63" s="37">
        <f t="shared" si="12"/>
        <v>0</v>
      </c>
      <c r="I63" s="37">
        <f t="shared" si="12"/>
        <v>0</v>
      </c>
      <c r="J63" s="37">
        <f t="shared" si="12"/>
        <v>0</v>
      </c>
      <c r="K63" s="37">
        <f t="shared" si="12"/>
        <v>156247</v>
      </c>
      <c r="L63" s="37">
        <f t="shared" si="12"/>
        <v>0</v>
      </c>
      <c r="M63" s="37">
        <f t="shared" si="12"/>
        <v>0</v>
      </c>
      <c r="N63" s="37">
        <f t="shared" si="12"/>
        <v>0</v>
      </c>
      <c r="O63" s="37">
        <f t="shared" si="12"/>
        <v>0</v>
      </c>
      <c r="P63" s="37">
        <f t="shared" si="12"/>
        <v>0</v>
      </c>
      <c r="Q63" s="37">
        <f t="shared" si="12"/>
        <v>0</v>
      </c>
      <c r="R63" s="37">
        <f t="shared" si="12"/>
        <v>0</v>
      </c>
      <c r="S63" s="37">
        <f t="shared" si="12"/>
        <v>0</v>
      </c>
      <c r="T63" s="37">
        <f t="shared" si="12"/>
        <v>0</v>
      </c>
      <c r="U63" s="37">
        <f t="shared" si="12"/>
        <v>0</v>
      </c>
      <c r="V63" s="37">
        <f t="shared" si="12"/>
        <v>108767</v>
      </c>
      <c r="W63" s="37">
        <f t="shared" si="12"/>
        <v>0</v>
      </c>
      <c r="X63" s="37">
        <f t="shared" si="12"/>
        <v>0</v>
      </c>
      <c r="Y63" s="37">
        <f t="shared" si="12"/>
        <v>0</v>
      </c>
      <c r="Z63" s="37">
        <f t="shared" si="12"/>
        <v>0</v>
      </c>
      <c r="AA63" s="37">
        <f t="shared" si="12"/>
        <v>0</v>
      </c>
      <c r="AB63" s="37">
        <f t="shared" si="12"/>
        <v>0</v>
      </c>
      <c r="AC63" s="37">
        <f>sum(AC64:AC74)</f>
        <v>217061</v>
      </c>
      <c r="AD63" s="37">
        <f t="shared" ref="AD63:AG63" si="13">sum(AD64:AD73)</f>
        <v>600000</v>
      </c>
      <c r="AE63" s="37">
        <f t="shared" si="13"/>
        <v>0</v>
      </c>
      <c r="AF63" s="37">
        <f t="shared" si="13"/>
        <v>0</v>
      </c>
      <c r="AG63" s="37">
        <f t="shared" si="13"/>
        <v>0</v>
      </c>
      <c r="AH63" s="38">
        <f>SUM(AH64:AH74)</f>
        <v>1140320</v>
      </c>
    </row>
    <row r="64">
      <c r="A64" s="16" t="s">
        <v>63</v>
      </c>
      <c r="B64" s="27">
        <f t="shared" si="14"/>
        <v>0.007834232454</v>
      </c>
      <c r="C64" s="20">
        <v>0.0</v>
      </c>
      <c r="D64" s="20">
        <v>0.0</v>
      </c>
      <c r="E64" s="20">
        <v>0.0</v>
      </c>
      <c r="F64" s="20">
        <v>0.0</v>
      </c>
      <c r="G64" s="20">
        <v>0.0</v>
      </c>
      <c r="H64" s="20">
        <v>0.0</v>
      </c>
      <c r="I64" s="20">
        <v>0.0</v>
      </c>
      <c r="J64" s="20">
        <v>0.0</v>
      </c>
      <c r="K64" s="17">
        <v>108647.0</v>
      </c>
      <c r="L64" s="20">
        <v>0.0</v>
      </c>
      <c r="M64" s="20">
        <v>0.0</v>
      </c>
      <c r="N64" s="20">
        <v>0.0</v>
      </c>
      <c r="O64" s="20">
        <v>0.0</v>
      </c>
      <c r="P64" s="20">
        <v>0.0</v>
      </c>
      <c r="Q64" s="20">
        <v>0.0</v>
      </c>
      <c r="R64" s="20">
        <v>0.0</v>
      </c>
      <c r="S64" s="20">
        <v>0.0</v>
      </c>
      <c r="T64" s="20">
        <v>0.0</v>
      </c>
      <c r="U64" s="20">
        <v>0.0</v>
      </c>
      <c r="V64" s="17">
        <v>108767.0</v>
      </c>
      <c r="W64" s="20">
        <v>0.0</v>
      </c>
      <c r="X64" s="20">
        <v>0.0</v>
      </c>
      <c r="Y64" s="20">
        <v>0.0</v>
      </c>
      <c r="Z64" s="20">
        <v>0.0</v>
      </c>
      <c r="AA64" s="20">
        <v>0.0</v>
      </c>
      <c r="AB64" s="20">
        <v>0.0</v>
      </c>
      <c r="AC64" s="17">
        <v>108845.0</v>
      </c>
      <c r="AD64" s="20">
        <v>0.0</v>
      </c>
      <c r="AE64" s="20">
        <v>0.0</v>
      </c>
      <c r="AF64" s="20">
        <v>0.0</v>
      </c>
      <c r="AG64" s="20">
        <v>0.0</v>
      </c>
      <c r="AH64" s="19">
        <f t="shared" ref="AH64:AH74" si="15">SUM(C64:AG64)</f>
        <v>326259</v>
      </c>
    </row>
    <row r="65">
      <c r="A65" s="16" t="s">
        <v>64</v>
      </c>
      <c r="B65" s="27">
        <f t="shared" si="14"/>
        <v>0.001398597033</v>
      </c>
      <c r="C65" s="20">
        <v>0.0</v>
      </c>
      <c r="D65" s="20">
        <v>0.0</v>
      </c>
      <c r="E65" s="17">
        <v>58245.0</v>
      </c>
      <c r="F65" s="20">
        <v>0.0</v>
      </c>
      <c r="G65" s="20">
        <v>0.0</v>
      </c>
      <c r="H65" s="20">
        <v>0.0</v>
      </c>
      <c r="I65" s="20">
        <v>0.0</v>
      </c>
      <c r="J65" s="20">
        <v>0.0</v>
      </c>
      <c r="K65" s="20">
        <v>0.0</v>
      </c>
      <c r="L65" s="20">
        <v>0.0</v>
      </c>
      <c r="M65" s="20">
        <v>0.0</v>
      </c>
      <c r="N65" s="20">
        <v>0.0</v>
      </c>
      <c r="O65" s="20">
        <v>0.0</v>
      </c>
      <c r="P65" s="20">
        <v>0.0</v>
      </c>
      <c r="Q65" s="20">
        <v>0.0</v>
      </c>
      <c r="R65" s="20">
        <v>0.0</v>
      </c>
      <c r="S65" s="20">
        <v>0.0</v>
      </c>
      <c r="T65" s="20">
        <v>0.0</v>
      </c>
      <c r="U65" s="20">
        <v>0.0</v>
      </c>
      <c r="V65" s="20">
        <v>0.0</v>
      </c>
      <c r="W65" s="20">
        <v>0.0</v>
      </c>
      <c r="X65" s="20">
        <v>0.0</v>
      </c>
      <c r="Y65" s="20">
        <v>0.0</v>
      </c>
      <c r="Z65" s="20">
        <v>0.0</v>
      </c>
      <c r="AA65" s="20">
        <v>0.0</v>
      </c>
      <c r="AB65" s="20">
        <v>0.0</v>
      </c>
      <c r="AC65" s="20">
        <v>0.0</v>
      </c>
      <c r="AD65" s="20">
        <v>0.0</v>
      </c>
      <c r="AE65" s="20">
        <v>0.0</v>
      </c>
      <c r="AF65" s="20">
        <v>0.0</v>
      </c>
      <c r="AG65" s="20">
        <v>0.0</v>
      </c>
      <c r="AH65" s="19">
        <f t="shared" si="15"/>
        <v>58245</v>
      </c>
    </row>
    <row r="66">
      <c r="A66" s="16" t="s">
        <v>65</v>
      </c>
      <c r="B66" s="27">
        <f t="shared" si="14"/>
        <v>0.001142985986</v>
      </c>
      <c r="C66" s="20">
        <v>0.0</v>
      </c>
      <c r="D66" s="20">
        <v>0.0</v>
      </c>
      <c r="E66" s="20">
        <v>0.0</v>
      </c>
      <c r="F66" s="20">
        <v>0.0</v>
      </c>
      <c r="G66" s="20">
        <v>0.0</v>
      </c>
      <c r="H66" s="20">
        <v>0.0</v>
      </c>
      <c r="I66" s="20">
        <v>0.0</v>
      </c>
      <c r="J66" s="20">
        <v>0.0</v>
      </c>
      <c r="K66" s="17">
        <v>47600.0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0">
        <v>0.0</v>
      </c>
      <c r="Y66" s="20">
        <v>0.0</v>
      </c>
      <c r="Z66" s="20">
        <v>0.0</v>
      </c>
      <c r="AA66" s="20">
        <v>0.0</v>
      </c>
      <c r="AB66" s="20">
        <v>0.0</v>
      </c>
      <c r="AC66" s="20">
        <v>0.0</v>
      </c>
      <c r="AD66" s="20">
        <v>0.0</v>
      </c>
      <c r="AE66" s="20">
        <v>0.0</v>
      </c>
      <c r="AF66" s="20">
        <v>0.0</v>
      </c>
      <c r="AG66" s="20">
        <v>0.0</v>
      </c>
      <c r="AH66" s="19">
        <f t="shared" si="15"/>
        <v>47600</v>
      </c>
    </row>
    <row r="67">
      <c r="A67" s="16" t="s">
        <v>66</v>
      </c>
      <c r="B67" s="27">
        <f t="shared" si="14"/>
        <v>0</v>
      </c>
      <c r="C67" s="20">
        <v>0.0</v>
      </c>
      <c r="D67" s="20">
        <v>0.0</v>
      </c>
      <c r="E67" s="20">
        <v>0.0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0.0</v>
      </c>
      <c r="M67" s="20">
        <v>0.0</v>
      </c>
      <c r="N67" s="20">
        <v>0.0</v>
      </c>
      <c r="O67" s="20">
        <v>0.0</v>
      </c>
      <c r="P67" s="20">
        <v>0.0</v>
      </c>
      <c r="Q67" s="20">
        <v>0.0</v>
      </c>
      <c r="R67" s="20">
        <v>0.0</v>
      </c>
      <c r="S67" s="20">
        <v>0.0</v>
      </c>
      <c r="T67" s="20">
        <v>0.0</v>
      </c>
      <c r="U67" s="17">
        <v>0.0</v>
      </c>
      <c r="V67" s="20">
        <v>0.0</v>
      </c>
      <c r="W67" s="20">
        <v>0.0</v>
      </c>
      <c r="X67" s="20">
        <v>0.0</v>
      </c>
      <c r="Y67" s="20">
        <v>0.0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0.0</v>
      </c>
      <c r="AF67" s="20">
        <v>0.0</v>
      </c>
      <c r="AG67" s="20">
        <v>0.0</v>
      </c>
      <c r="AH67" s="19">
        <f t="shared" si="15"/>
        <v>0</v>
      </c>
    </row>
    <row r="68">
      <c r="A68" s="16" t="s">
        <v>67</v>
      </c>
      <c r="B68" s="27">
        <f t="shared" si="14"/>
        <v>0.00239465169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20">
        <v>0.0</v>
      </c>
      <c r="L68" s="20">
        <v>0.0</v>
      </c>
      <c r="M68" s="20">
        <v>0.0</v>
      </c>
      <c r="N68" s="20">
        <v>0.0</v>
      </c>
      <c r="O68" s="20">
        <v>0.0</v>
      </c>
      <c r="P68" s="20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0.0</v>
      </c>
      <c r="V68" s="20">
        <v>0.0</v>
      </c>
      <c r="W68" s="20">
        <v>0.0</v>
      </c>
      <c r="X68" s="20">
        <v>0.0</v>
      </c>
      <c r="Y68" s="20">
        <v>0.0</v>
      </c>
      <c r="Z68" s="20">
        <v>0.0</v>
      </c>
      <c r="AA68" s="20">
        <v>0.0</v>
      </c>
      <c r="AB68" s="20">
        <v>0.0</v>
      </c>
      <c r="AC68" s="17">
        <v>99726.0</v>
      </c>
      <c r="AD68" s="20">
        <v>0.0</v>
      </c>
      <c r="AE68" s="20">
        <v>0.0</v>
      </c>
      <c r="AF68" s="20">
        <v>0.0</v>
      </c>
      <c r="AG68" s="20">
        <v>0.0</v>
      </c>
      <c r="AH68" s="19">
        <f t="shared" si="15"/>
        <v>99726</v>
      </c>
    </row>
    <row r="69">
      <c r="A69" s="16" t="s">
        <v>68</v>
      </c>
      <c r="B69" s="27">
        <f t="shared" si="14"/>
        <v>0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v>0.0</v>
      </c>
      <c r="L69" s="20">
        <v>0.0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20">
        <v>0.0</v>
      </c>
      <c r="W69" s="20">
        <v>0.0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20">
        <v>0.0</v>
      </c>
      <c r="AF69" s="20">
        <v>0.0</v>
      </c>
      <c r="AG69" s="20">
        <v>0.0</v>
      </c>
      <c r="AH69" s="19">
        <f t="shared" si="15"/>
        <v>0</v>
      </c>
    </row>
    <row r="70">
      <c r="A70" s="16" t="s">
        <v>69</v>
      </c>
      <c r="B70" s="27">
        <f t="shared" si="14"/>
        <v>0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20">
        <v>0.0</v>
      </c>
      <c r="AC70" s="20">
        <v>0.0</v>
      </c>
      <c r="AD70" s="20">
        <v>0.0</v>
      </c>
      <c r="AE70" s="20">
        <v>0.0</v>
      </c>
      <c r="AF70" s="20">
        <v>0.0</v>
      </c>
      <c r="AG70" s="20">
        <v>0.0</v>
      </c>
      <c r="AH70" s="19">
        <f t="shared" si="15"/>
        <v>0</v>
      </c>
    </row>
    <row r="71">
      <c r="A71" s="16" t="s">
        <v>70</v>
      </c>
      <c r="B71" s="27">
        <f t="shared" si="14"/>
        <v>0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0.0</v>
      </c>
      <c r="K71" s="20">
        <v>0.0</v>
      </c>
      <c r="L71" s="20">
        <v>0.0</v>
      </c>
      <c r="M71" s="20">
        <v>0.0</v>
      </c>
      <c r="N71" s="20">
        <v>0.0</v>
      </c>
      <c r="O71" s="20">
        <v>0.0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20">
        <v>0.0</v>
      </c>
      <c r="AF71" s="20">
        <v>0.0</v>
      </c>
      <c r="AG71" s="20">
        <v>0.0</v>
      </c>
      <c r="AH71" s="19">
        <f t="shared" si="15"/>
        <v>0</v>
      </c>
    </row>
    <row r="72">
      <c r="A72" s="16" t="s">
        <v>71</v>
      </c>
      <c r="B72" s="27">
        <f t="shared" si="14"/>
        <v>0</v>
      </c>
      <c r="C72" s="20">
        <v>0.0</v>
      </c>
      <c r="D72" s="20">
        <v>0.0</v>
      </c>
      <c r="E72" s="20">
        <v>0.0</v>
      </c>
      <c r="F72" s="20">
        <v>0.0</v>
      </c>
      <c r="G72" s="20">
        <v>0.0</v>
      </c>
      <c r="H72" s="20">
        <v>0.0</v>
      </c>
      <c r="I72" s="20">
        <v>0.0</v>
      </c>
      <c r="J72" s="20">
        <v>0.0</v>
      </c>
      <c r="K72" s="20">
        <v>0.0</v>
      </c>
      <c r="L72" s="20">
        <v>0.0</v>
      </c>
      <c r="M72" s="20">
        <v>0.0</v>
      </c>
      <c r="N72" s="20">
        <v>0.0</v>
      </c>
      <c r="O72" s="20">
        <v>0.0</v>
      </c>
      <c r="P72" s="20">
        <v>0.0</v>
      </c>
      <c r="Q72" s="20">
        <v>0.0</v>
      </c>
      <c r="R72" s="20">
        <v>0.0</v>
      </c>
      <c r="S72" s="20">
        <v>0.0</v>
      </c>
      <c r="T72" s="20">
        <v>0.0</v>
      </c>
      <c r="U72" s="20">
        <v>0.0</v>
      </c>
      <c r="V72" s="20">
        <v>0.0</v>
      </c>
      <c r="W72" s="20">
        <v>0.0</v>
      </c>
      <c r="X72" s="20">
        <v>0.0</v>
      </c>
      <c r="Y72" s="20">
        <v>0.0</v>
      </c>
      <c r="Z72" s="20">
        <v>0.0</v>
      </c>
      <c r="AA72" s="20">
        <v>0.0</v>
      </c>
      <c r="AB72" s="20">
        <v>0.0</v>
      </c>
      <c r="AC72" s="20">
        <v>0.0</v>
      </c>
      <c r="AD72" s="20">
        <v>0.0</v>
      </c>
      <c r="AE72" s="20">
        <v>0.0</v>
      </c>
      <c r="AF72" s="20">
        <v>0.0</v>
      </c>
      <c r="AG72" s="20">
        <v>0.0</v>
      </c>
      <c r="AH72" s="19">
        <f t="shared" si="15"/>
        <v>0</v>
      </c>
    </row>
    <row r="73">
      <c r="A73" s="7" t="s">
        <v>72</v>
      </c>
      <c r="B73" s="27">
        <f t="shared" si="14"/>
        <v>0.01440738638</v>
      </c>
      <c r="C73" s="20">
        <v>0.0</v>
      </c>
      <c r="D73" s="20">
        <v>0.0</v>
      </c>
      <c r="E73" s="20">
        <v>0.0</v>
      </c>
      <c r="F73" s="20">
        <v>0.0</v>
      </c>
      <c r="G73" s="20">
        <v>0.0</v>
      </c>
      <c r="H73" s="20">
        <v>0.0</v>
      </c>
      <c r="I73" s="20">
        <v>0.0</v>
      </c>
      <c r="J73" s="20">
        <v>0.0</v>
      </c>
      <c r="K73" s="20">
        <v>0.0</v>
      </c>
      <c r="L73" s="20">
        <v>0.0</v>
      </c>
      <c r="M73" s="20">
        <v>0.0</v>
      </c>
      <c r="N73" s="20">
        <v>0.0</v>
      </c>
      <c r="O73" s="20">
        <v>0.0</v>
      </c>
      <c r="P73" s="20">
        <v>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  <c r="V73" s="20">
        <v>0.0</v>
      </c>
      <c r="W73" s="20">
        <v>0.0</v>
      </c>
      <c r="X73" s="20">
        <v>0.0</v>
      </c>
      <c r="Y73" s="20">
        <v>0.0</v>
      </c>
      <c r="Z73" s="20">
        <v>0.0</v>
      </c>
      <c r="AA73" s="20">
        <v>0.0</v>
      </c>
      <c r="AB73" s="20">
        <v>0.0</v>
      </c>
      <c r="AC73" s="20">
        <v>0.0</v>
      </c>
      <c r="AD73" s="17">
        <v>600000.0</v>
      </c>
      <c r="AE73" s="20">
        <v>0.0</v>
      </c>
      <c r="AF73" s="20">
        <v>0.0</v>
      </c>
      <c r="AG73" s="17">
        <v>0.0</v>
      </c>
      <c r="AH73" s="19">
        <f t="shared" si="15"/>
        <v>600000</v>
      </c>
    </row>
    <row r="74">
      <c r="A74" s="39" t="s">
        <v>73</v>
      </c>
      <c r="B74" s="27">
        <f t="shared" si="14"/>
        <v>0.0002038645173</v>
      </c>
      <c r="C74" s="46">
        <v>0.0</v>
      </c>
      <c r="D74" s="46">
        <v>0.0</v>
      </c>
      <c r="E74" s="46">
        <v>0.0</v>
      </c>
      <c r="F74" s="46">
        <v>0.0</v>
      </c>
      <c r="G74" s="46">
        <v>0.0</v>
      </c>
      <c r="H74" s="46">
        <v>0.0</v>
      </c>
      <c r="I74" s="46">
        <v>0.0</v>
      </c>
      <c r="J74" s="46">
        <v>0.0</v>
      </c>
      <c r="K74" s="46">
        <v>0.0</v>
      </c>
      <c r="L74" s="46">
        <v>0.0</v>
      </c>
      <c r="M74" s="46">
        <v>0.0</v>
      </c>
      <c r="N74" s="46">
        <v>0.0</v>
      </c>
      <c r="O74" s="46">
        <v>0.0</v>
      </c>
      <c r="P74" s="46">
        <v>0.0</v>
      </c>
      <c r="Q74" s="46">
        <v>0.0</v>
      </c>
      <c r="R74" s="46">
        <v>0.0</v>
      </c>
      <c r="S74" s="46">
        <v>0.0</v>
      </c>
      <c r="T74" s="46">
        <v>0.0</v>
      </c>
      <c r="U74" s="46">
        <v>0.0</v>
      </c>
      <c r="V74" s="46">
        <v>0.0</v>
      </c>
      <c r="W74" s="46">
        <v>0.0</v>
      </c>
      <c r="X74" s="46">
        <v>0.0</v>
      </c>
      <c r="Y74" s="46">
        <v>0.0</v>
      </c>
      <c r="Z74" s="46">
        <v>0.0</v>
      </c>
      <c r="AA74" s="46">
        <v>0.0</v>
      </c>
      <c r="AB74" s="46">
        <v>0.0</v>
      </c>
      <c r="AC74" s="46">
        <v>8490.0</v>
      </c>
      <c r="AD74" s="46">
        <v>0.0</v>
      </c>
      <c r="AE74" s="10"/>
      <c r="AF74" s="10"/>
      <c r="AG74" s="10"/>
      <c r="AH74" s="19">
        <f t="shared" si="15"/>
        <v>8490</v>
      </c>
    </row>
    <row r="75">
      <c r="A75" s="7"/>
      <c r="B75" s="8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40" t="s">
        <v>74</v>
      </c>
      <c r="B76" s="32">
        <f t="shared" ref="B76:B79" si="17">AH76/$AH$10</f>
        <v>0</v>
      </c>
      <c r="C76" s="41">
        <f t="shared" ref="C76:AH76" si="16">sum(C77:C79)</f>
        <v>0</v>
      </c>
      <c r="D76" s="41">
        <f t="shared" si="16"/>
        <v>0</v>
      </c>
      <c r="E76" s="41">
        <f t="shared" si="16"/>
        <v>0</v>
      </c>
      <c r="F76" s="41">
        <f t="shared" si="16"/>
        <v>0</v>
      </c>
      <c r="G76" s="41">
        <f t="shared" si="16"/>
        <v>0</v>
      </c>
      <c r="H76" s="41">
        <f t="shared" si="16"/>
        <v>0</v>
      </c>
      <c r="I76" s="41">
        <f t="shared" si="16"/>
        <v>0</v>
      </c>
      <c r="J76" s="41">
        <f t="shared" si="16"/>
        <v>0</v>
      </c>
      <c r="K76" s="41">
        <f t="shared" si="16"/>
        <v>0</v>
      </c>
      <c r="L76" s="41">
        <f t="shared" si="16"/>
        <v>0</v>
      </c>
      <c r="M76" s="41">
        <f t="shared" si="16"/>
        <v>0</v>
      </c>
      <c r="N76" s="41">
        <f t="shared" si="16"/>
        <v>0</v>
      </c>
      <c r="O76" s="41">
        <f t="shared" si="16"/>
        <v>0</v>
      </c>
      <c r="P76" s="41">
        <f t="shared" si="16"/>
        <v>0</v>
      </c>
      <c r="Q76" s="41">
        <f t="shared" si="16"/>
        <v>0</v>
      </c>
      <c r="R76" s="41">
        <f t="shared" si="16"/>
        <v>0</v>
      </c>
      <c r="S76" s="41">
        <f t="shared" si="16"/>
        <v>0</v>
      </c>
      <c r="T76" s="41">
        <f t="shared" si="16"/>
        <v>0</v>
      </c>
      <c r="U76" s="41">
        <f t="shared" si="16"/>
        <v>0</v>
      </c>
      <c r="V76" s="41">
        <f t="shared" si="16"/>
        <v>0</v>
      </c>
      <c r="W76" s="41">
        <f t="shared" si="16"/>
        <v>0</v>
      </c>
      <c r="X76" s="41">
        <f t="shared" si="16"/>
        <v>0</v>
      </c>
      <c r="Y76" s="41">
        <f t="shared" si="16"/>
        <v>0</v>
      </c>
      <c r="Z76" s="41">
        <f t="shared" si="16"/>
        <v>0</v>
      </c>
      <c r="AA76" s="41">
        <f t="shared" si="16"/>
        <v>0</v>
      </c>
      <c r="AB76" s="41">
        <f t="shared" si="16"/>
        <v>0</v>
      </c>
      <c r="AC76" s="41">
        <f t="shared" si="16"/>
        <v>0</v>
      </c>
      <c r="AD76" s="41">
        <f t="shared" si="16"/>
        <v>0</v>
      </c>
      <c r="AE76" s="41">
        <f t="shared" si="16"/>
        <v>0</v>
      </c>
      <c r="AF76" s="41">
        <f t="shared" si="16"/>
        <v>0</v>
      </c>
      <c r="AG76" s="41">
        <f t="shared" si="16"/>
        <v>0</v>
      </c>
      <c r="AH76" s="34">
        <f t="shared" si="16"/>
        <v>0</v>
      </c>
    </row>
    <row r="77">
      <c r="A77" s="16" t="s">
        <v>75</v>
      </c>
      <c r="B77" s="27">
        <f t="shared" si="17"/>
        <v>0</v>
      </c>
      <c r="C77" s="20">
        <v>0.0</v>
      </c>
      <c r="D77" s="20">
        <v>0.0</v>
      </c>
      <c r="E77" s="20">
        <v>0.0</v>
      </c>
      <c r="F77" s="20">
        <v>0.0</v>
      </c>
      <c r="G77" s="20">
        <v>0.0</v>
      </c>
      <c r="H77" s="20">
        <v>0.0</v>
      </c>
      <c r="I77" s="20">
        <v>0.0</v>
      </c>
      <c r="J77" s="20">
        <v>0.0</v>
      </c>
      <c r="K77" s="20">
        <v>0.0</v>
      </c>
      <c r="L77" s="20">
        <v>0.0</v>
      </c>
      <c r="M77" s="20">
        <v>0.0</v>
      </c>
      <c r="N77" s="20">
        <v>0.0</v>
      </c>
      <c r="O77" s="20">
        <v>0.0</v>
      </c>
      <c r="P77" s="20">
        <v>0.0</v>
      </c>
      <c r="Q77" s="20">
        <v>0.0</v>
      </c>
      <c r="R77" s="20">
        <v>0.0</v>
      </c>
      <c r="S77" s="20">
        <v>0.0</v>
      </c>
      <c r="T77" s="20">
        <v>0.0</v>
      </c>
      <c r="U77" s="20">
        <v>0.0</v>
      </c>
      <c r="V77" s="20">
        <v>0.0</v>
      </c>
      <c r="W77" s="20">
        <v>0.0</v>
      </c>
      <c r="X77" s="20">
        <v>0.0</v>
      </c>
      <c r="Y77" s="20">
        <v>0.0</v>
      </c>
      <c r="Z77" s="20">
        <v>0.0</v>
      </c>
      <c r="AA77" s="20">
        <v>0.0</v>
      </c>
      <c r="AB77" s="20">
        <v>0.0</v>
      </c>
      <c r="AC77" s="20">
        <v>0.0</v>
      </c>
      <c r="AD77" s="20">
        <v>0.0</v>
      </c>
      <c r="AE77" s="20">
        <v>0.0</v>
      </c>
      <c r="AF77" s="20">
        <v>0.0</v>
      </c>
      <c r="AG77" s="20">
        <v>0.0</v>
      </c>
      <c r="AH77" s="19">
        <f t="shared" ref="AH77:AH79" si="18">SUM(C77:AG77)</f>
        <v>0</v>
      </c>
    </row>
    <row r="78">
      <c r="A78" s="16" t="s">
        <v>76</v>
      </c>
      <c r="B78" s="27">
        <f t="shared" si="17"/>
        <v>0</v>
      </c>
      <c r="C78" s="20">
        <v>0.0</v>
      </c>
      <c r="D78" s="20">
        <v>0.0</v>
      </c>
      <c r="E78" s="20">
        <v>0.0</v>
      </c>
      <c r="F78" s="20">
        <v>0.0</v>
      </c>
      <c r="G78" s="20">
        <v>0.0</v>
      </c>
      <c r="H78" s="20">
        <v>0.0</v>
      </c>
      <c r="I78" s="20">
        <v>0.0</v>
      </c>
      <c r="J78" s="20">
        <v>0.0</v>
      </c>
      <c r="K78" s="20">
        <v>0.0</v>
      </c>
      <c r="L78" s="20">
        <v>0.0</v>
      </c>
      <c r="M78" s="20">
        <v>0.0</v>
      </c>
      <c r="N78" s="20">
        <v>0.0</v>
      </c>
      <c r="O78" s="20">
        <v>0.0</v>
      </c>
      <c r="P78" s="20">
        <v>0.0</v>
      </c>
      <c r="Q78" s="20">
        <v>0.0</v>
      </c>
      <c r="R78" s="20">
        <v>0.0</v>
      </c>
      <c r="S78" s="20">
        <v>0.0</v>
      </c>
      <c r="T78" s="20">
        <v>0.0</v>
      </c>
      <c r="U78" s="20">
        <v>0.0</v>
      </c>
      <c r="V78" s="20">
        <v>0.0</v>
      </c>
      <c r="W78" s="20">
        <v>0.0</v>
      </c>
      <c r="X78" s="20">
        <v>0.0</v>
      </c>
      <c r="Y78" s="20">
        <v>0.0</v>
      </c>
      <c r="Z78" s="20">
        <v>0.0</v>
      </c>
      <c r="AA78" s="20">
        <v>0.0</v>
      </c>
      <c r="AB78" s="20">
        <v>0.0</v>
      </c>
      <c r="AC78" s="20">
        <v>0.0</v>
      </c>
      <c r="AD78" s="20">
        <v>0.0</v>
      </c>
      <c r="AE78" s="20">
        <v>0.0</v>
      </c>
      <c r="AF78" s="20">
        <v>0.0</v>
      </c>
      <c r="AG78" s="20">
        <v>0.0</v>
      </c>
      <c r="AH78" s="19">
        <f t="shared" si="18"/>
        <v>0</v>
      </c>
    </row>
    <row r="79">
      <c r="A79" s="16" t="s">
        <v>77</v>
      </c>
      <c r="B79" s="27">
        <f t="shared" si="17"/>
        <v>0</v>
      </c>
      <c r="C79" s="20">
        <v>0.0</v>
      </c>
      <c r="D79" s="20">
        <v>0.0</v>
      </c>
      <c r="E79" s="20">
        <v>0.0</v>
      </c>
      <c r="F79" s="20">
        <v>0.0</v>
      </c>
      <c r="G79" s="20">
        <v>0.0</v>
      </c>
      <c r="H79" s="20">
        <v>0.0</v>
      </c>
      <c r="I79" s="20">
        <v>0.0</v>
      </c>
      <c r="J79" s="20">
        <v>0.0</v>
      </c>
      <c r="K79" s="20">
        <v>0.0</v>
      </c>
      <c r="L79" s="20">
        <v>0.0</v>
      </c>
      <c r="M79" s="20">
        <v>0.0</v>
      </c>
      <c r="N79" s="20">
        <v>0.0</v>
      </c>
      <c r="O79" s="20">
        <v>0.0</v>
      </c>
      <c r="P79" s="20">
        <v>0.0</v>
      </c>
      <c r="Q79" s="20">
        <v>0.0</v>
      </c>
      <c r="R79" s="20">
        <v>0.0</v>
      </c>
      <c r="S79" s="20">
        <v>0.0</v>
      </c>
      <c r="T79" s="20">
        <v>0.0</v>
      </c>
      <c r="U79" s="20">
        <v>0.0</v>
      </c>
      <c r="V79" s="20">
        <v>0.0</v>
      </c>
      <c r="W79" s="20">
        <v>0.0</v>
      </c>
      <c r="X79" s="20">
        <v>0.0</v>
      </c>
      <c r="Y79" s="20">
        <v>0.0</v>
      </c>
      <c r="Z79" s="20">
        <v>0.0</v>
      </c>
      <c r="AA79" s="20">
        <v>0.0</v>
      </c>
      <c r="AB79" s="20">
        <v>0.0</v>
      </c>
      <c r="AC79" s="20">
        <v>0.0</v>
      </c>
      <c r="AD79" s="20">
        <v>0.0</v>
      </c>
      <c r="AE79" s="20">
        <v>0.0</v>
      </c>
      <c r="AF79" s="20">
        <v>0.0</v>
      </c>
      <c r="AG79" s="20">
        <v>0.0</v>
      </c>
      <c r="AH79" s="19">
        <f t="shared" si="18"/>
        <v>0</v>
      </c>
    </row>
    <row r="80">
      <c r="A80" s="7"/>
      <c r="B80" s="8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>
      <c r="A81" s="42" t="s">
        <v>79</v>
      </c>
      <c r="B81" s="43">
        <f t="shared" ref="B81:B85" si="20">AH81/$AH$10</f>
        <v>0.1077714523</v>
      </c>
      <c r="C81" s="44">
        <f t="shared" ref="C81:AH81" si="19">sum(C82:C85)</f>
        <v>0</v>
      </c>
      <c r="D81" s="44">
        <f t="shared" si="19"/>
        <v>595045</v>
      </c>
      <c r="E81" s="44">
        <f t="shared" si="19"/>
        <v>277150</v>
      </c>
      <c r="F81" s="44">
        <f t="shared" si="19"/>
        <v>0</v>
      </c>
      <c r="G81" s="44">
        <f t="shared" si="19"/>
        <v>218321</v>
      </c>
      <c r="H81" s="44">
        <f t="shared" si="19"/>
        <v>0</v>
      </c>
      <c r="I81" s="44">
        <f t="shared" si="19"/>
        <v>0</v>
      </c>
      <c r="J81" s="44">
        <f t="shared" si="19"/>
        <v>0</v>
      </c>
      <c r="K81" s="44">
        <f t="shared" si="19"/>
        <v>585003</v>
      </c>
      <c r="L81" s="44">
        <f t="shared" si="19"/>
        <v>150000</v>
      </c>
      <c r="M81" s="44">
        <f t="shared" si="19"/>
        <v>50900</v>
      </c>
      <c r="N81" s="44">
        <f t="shared" si="19"/>
        <v>0</v>
      </c>
      <c r="O81" s="44">
        <f t="shared" si="19"/>
        <v>196117</v>
      </c>
      <c r="P81" s="44">
        <f t="shared" si="19"/>
        <v>0</v>
      </c>
      <c r="Q81" s="44">
        <f t="shared" si="19"/>
        <v>0</v>
      </c>
      <c r="R81" s="44">
        <f t="shared" si="19"/>
        <v>1006607</v>
      </c>
      <c r="S81" s="44">
        <f t="shared" si="19"/>
        <v>227500</v>
      </c>
      <c r="T81" s="44">
        <f t="shared" si="19"/>
        <v>0</v>
      </c>
      <c r="U81" s="44">
        <f t="shared" si="19"/>
        <v>0</v>
      </c>
      <c r="V81" s="44">
        <f t="shared" si="19"/>
        <v>234810</v>
      </c>
      <c r="W81" s="44">
        <f t="shared" si="19"/>
        <v>0</v>
      </c>
      <c r="X81" s="44">
        <f t="shared" si="19"/>
        <v>0</v>
      </c>
      <c r="Y81" s="44">
        <f t="shared" si="19"/>
        <v>567600</v>
      </c>
      <c r="Z81" s="44">
        <f t="shared" si="19"/>
        <v>231100</v>
      </c>
      <c r="AA81" s="44">
        <f t="shared" si="19"/>
        <v>0</v>
      </c>
      <c r="AB81" s="44">
        <f t="shared" si="19"/>
        <v>0</v>
      </c>
      <c r="AC81" s="44">
        <f t="shared" si="19"/>
        <v>148022</v>
      </c>
      <c r="AD81" s="44">
        <f t="shared" si="19"/>
        <v>0</v>
      </c>
      <c r="AE81" s="44">
        <f t="shared" si="19"/>
        <v>0</v>
      </c>
      <c r="AF81" s="44">
        <f t="shared" si="19"/>
        <v>0</v>
      </c>
      <c r="AG81" s="44">
        <f t="shared" si="19"/>
        <v>0</v>
      </c>
      <c r="AH81" s="45">
        <f t="shared" si="19"/>
        <v>4488175</v>
      </c>
    </row>
    <row r="82">
      <c r="A82" s="16" t="s">
        <v>80</v>
      </c>
      <c r="B82" s="27">
        <f t="shared" si="20"/>
        <v>0.0191442949</v>
      </c>
      <c r="C82" s="20">
        <v>0.0</v>
      </c>
      <c r="D82" s="20">
        <v>0.0</v>
      </c>
      <c r="E82" s="20">
        <v>0.0</v>
      </c>
      <c r="F82" s="20">
        <v>0.0</v>
      </c>
      <c r="G82" s="17">
        <v>218321.0</v>
      </c>
      <c r="H82" s="20">
        <v>0.0</v>
      </c>
      <c r="I82" s="20">
        <v>0.0</v>
      </c>
      <c r="J82" s="20">
        <v>0.0</v>
      </c>
      <c r="K82" s="20">
        <v>0.0</v>
      </c>
      <c r="L82" s="20">
        <v>0.0</v>
      </c>
      <c r="M82" s="20">
        <v>0.0</v>
      </c>
      <c r="N82" s="20">
        <v>0.0</v>
      </c>
      <c r="O82" s="17">
        <v>196117.0</v>
      </c>
      <c r="P82" s="20">
        <v>0.0</v>
      </c>
      <c r="Q82" s="20">
        <v>0.0</v>
      </c>
      <c r="R82" s="20">
        <v>0.0</v>
      </c>
      <c r="S82" s="20">
        <v>0.0</v>
      </c>
      <c r="T82" s="20">
        <v>0.0</v>
      </c>
      <c r="U82" s="20">
        <v>0.0</v>
      </c>
      <c r="V82" s="17">
        <v>234810.0</v>
      </c>
      <c r="W82" s="20">
        <v>0.0</v>
      </c>
      <c r="X82" s="20">
        <v>0.0</v>
      </c>
      <c r="Y82" s="20">
        <v>0.0</v>
      </c>
      <c r="Z82" s="20">
        <v>0.0</v>
      </c>
      <c r="AA82" s="20">
        <v>0.0</v>
      </c>
      <c r="AB82" s="20">
        <v>0.0</v>
      </c>
      <c r="AC82" s="17">
        <v>148022.0</v>
      </c>
      <c r="AD82" s="20">
        <v>0.0</v>
      </c>
      <c r="AE82" s="20">
        <v>0.0</v>
      </c>
      <c r="AF82" s="20">
        <v>0.0</v>
      </c>
      <c r="AG82" s="20">
        <v>0.0</v>
      </c>
      <c r="AH82" s="19">
        <f t="shared" ref="AH82:AH85" si="21">SUM(C82:AG82)</f>
        <v>797270</v>
      </c>
    </row>
    <row r="83">
      <c r="A83" s="16" t="s">
        <v>81</v>
      </c>
      <c r="B83" s="27">
        <f t="shared" si="20"/>
        <v>0</v>
      </c>
      <c r="C83" s="20">
        <v>0.0</v>
      </c>
      <c r="D83" s="20">
        <v>0.0</v>
      </c>
      <c r="E83" s="20">
        <v>0.0</v>
      </c>
      <c r="F83" s="20">
        <v>0.0</v>
      </c>
      <c r="G83" s="20">
        <v>0.0</v>
      </c>
      <c r="H83" s="20">
        <v>0.0</v>
      </c>
      <c r="I83" s="20">
        <v>0.0</v>
      </c>
      <c r="J83" s="20">
        <v>0.0</v>
      </c>
      <c r="K83" s="20">
        <v>0.0</v>
      </c>
      <c r="L83" s="20">
        <v>0.0</v>
      </c>
      <c r="M83" s="20">
        <v>0.0</v>
      </c>
      <c r="N83" s="20">
        <v>0.0</v>
      </c>
      <c r="O83" s="20">
        <v>0.0</v>
      </c>
      <c r="P83" s="20">
        <v>0.0</v>
      </c>
      <c r="Q83" s="20">
        <v>0.0</v>
      </c>
      <c r="R83" s="20">
        <v>0.0</v>
      </c>
      <c r="S83" s="20">
        <v>0.0</v>
      </c>
      <c r="T83" s="20">
        <v>0.0</v>
      </c>
      <c r="U83" s="20">
        <v>0.0</v>
      </c>
      <c r="V83" s="20">
        <v>0.0</v>
      </c>
      <c r="W83" s="20">
        <v>0.0</v>
      </c>
      <c r="X83" s="20">
        <v>0.0</v>
      </c>
      <c r="Y83" s="20">
        <v>0.0</v>
      </c>
      <c r="Z83" s="20">
        <v>0.0</v>
      </c>
      <c r="AA83" s="20">
        <v>0.0</v>
      </c>
      <c r="AB83" s="20">
        <v>0.0</v>
      </c>
      <c r="AC83" s="20">
        <v>0.0</v>
      </c>
      <c r="AD83" s="20">
        <v>0.0</v>
      </c>
      <c r="AE83" s="20">
        <v>0.0</v>
      </c>
      <c r="AF83" s="20">
        <v>0.0</v>
      </c>
      <c r="AG83" s="20">
        <v>0.0</v>
      </c>
      <c r="AH83" s="19">
        <f t="shared" si="21"/>
        <v>0</v>
      </c>
    </row>
    <row r="84">
      <c r="A84" s="16" t="s">
        <v>82</v>
      </c>
      <c r="B84" s="27">
        <f t="shared" si="20"/>
        <v>0.02213094609</v>
      </c>
      <c r="C84" s="20">
        <v>0.0</v>
      </c>
      <c r="D84" s="20">
        <v>0.0</v>
      </c>
      <c r="E84" s="17">
        <v>277150.0</v>
      </c>
      <c r="F84" s="17">
        <v>0.0</v>
      </c>
      <c r="G84" s="20">
        <v>0.0</v>
      </c>
      <c r="H84" s="20">
        <v>0.0</v>
      </c>
      <c r="I84" s="20">
        <v>0.0</v>
      </c>
      <c r="J84" s="20">
        <v>0.0</v>
      </c>
      <c r="K84" s="20">
        <v>0.0</v>
      </c>
      <c r="L84" s="17">
        <v>150000.0</v>
      </c>
      <c r="M84" s="17">
        <v>50900.0</v>
      </c>
      <c r="N84" s="20">
        <v>0.0</v>
      </c>
      <c r="O84" s="20">
        <v>0.0</v>
      </c>
      <c r="P84" s="20">
        <v>0.0</v>
      </c>
      <c r="Q84" s="20">
        <v>0.0</v>
      </c>
      <c r="R84" s="20">
        <v>0.0</v>
      </c>
      <c r="S84" s="17">
        <v>227500.0</v>
      </c>
      <c r="T84" s="20">
        <v>0.0</v>
      </c>
      <c r="U84" s="20">
        <v>0.0</v>
      </c>
      <c r="V84" s="20">
        <v>0.0</v>
      </c>
      <c r="W84" s="20">
        <v>0.0</v>
      </c>
      <c r="X84" s="20">
        <v>0.0</v>
      </c>
      <c r="Y84" s="20">
        <v>0.0</v>
      </c>
      <c r="Z84" s="20">
        <f>12500+203600</f>
        <v>216100</v>
      </c>
      <c r="AA84" s="20">
        <v>0.0</v>
      </c>
      <c r="AB84" s="20">
        <v>0.0</v>
      </c>
      <c r="AC84" s="20">
        <v>0.0</v>
      </c>
      <c r="AD84" s="20">
        <v>0.0</v>
      </c>
      <c r="AE84" s="20">
        <v>0.0</v>
      </c>
      <c r="AF84" s="20">
        <v>0.0</v>
      </c>
      <c r="AG84" s="20">
        <v>0.0</v>
      </c>
      <c r="AH84" s="19">
        <f t="shared" si="21"/>
        <v>921650</v>
      </c>
    </row>
    <row r="85">
      <c r="A85" s="16" t="s">
        <v>83</v>
      </c>
      <c r="B85" s="27">
        <f t="shared" si="20"/>
        <v>0.06649621128</v>
      </c>
      <c r="C85" s="20">
        <v>0.0</v>
      </c>
      <c r="D85" s="17">
        <v>595045.0</v>
      </c>
      <c r="E85" s="20">
        <v>0.0</v>
      </c>
      <c r="F85" s="17">
        <v>0.0</v>
      </c>
      <c r="G85" s="20">
        <v>0.0</v>
      </c>
      <c r="H85" s="20">
        <v>0.0</v>
      </c>
      <c r="I85" s="20">
        <v>0.0</v>
      </c>
      <c r="J85" s="20">
        <v>0.0</v>
      </c>
      <c r="K85" s="17">
        <v>585003.0</v>
      </c>
      <c r="L85" s="20">
        <v>0.0</v>
      </c>
      <c r="M85" s="20">
        <v>0.0</v>
      </c>
      <c r="N85" s="20">
        <v>0.0</v>
      </c>
      <c r="O85" s="20">
        <v>0.0</v>
      </c>
      <c r="P85" s="20">
        <v>0.0</v>
      </c>
      <c r="Q85" s="20">
        <v>0.0</v>
      </c>
      <c r="R85" s="17">
        <v>1006607.0</v>
      </c>
      <c r="S85" s="20">
        <v>0.0</v>
      </c>
      <c r="T85" s="20">
        <v>0.0</v>
      </c>
      <c r="U85" s="20">
        <v>0.0</v>
      </c>
      <c r="V85" s="20">
        <v>0.0</v>
      </c>
      <c r="W85" s="20">
        <v>0.0</v>
      </c>
      <c r="X85" s="20">
        <v>0.0</v>
      </c>
      <c r="Y85" s="17">
        <v>567600.0</v>
      </c>
      <c r="Z85" s="17">
        <v>15000.0</v>
      </c>
      <c r="AA85" s="20">
        <v>0.0</v>
      </c>
      <c r="AB85" s="20">
        <v>0.0</v>
      </c>
      <c r="AC85" s="20">
        <v>0.0</v>
      </c>
      <c r="AD85" s="20">
        <v>0.0</v>
      </c>
      <c r="AE85" s="20">
        <v>0.0</v>
      </c>
      <c r="AF85" s="20">
        <v>0.0</v>
      </c>
      <c r="AG85" s="20">
        <v>0.0</v>
      </c>
      <c r="AH85" s="19">
        <f t="shared" si="21"/>
        <v>2769255</v>
      </c>
    </row>
    <row r="86">
      <c r="A86" s="7"/>
      <c r="B86" s="8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>
      <c r="A87" s="47" t="s">
        <v>84</v>
      </c>
      <c r="B87" s="48">
        <f t="shared" ref="B87:B96" si="23">AH87/$AH$10</f>
        <v>0.2848578249</v>
      </c>
      <c r="C87" s="49">
        <f t="shared" ref="C87:AG87" si="22">sum(C88:C96)</f>
        <v>0</v>
      </c>
      <c r="D87" s="49">
        <f t="shared" si="22"/>
        <v>116500</v>
      </c>
      <c r="E87" s="49">
        <f t="shared" si="22"/>
        <v>927213</v>
      </c>
      <c r="F87" s="49">
        <f t="shared" si="22"/>
        <v>211010</v>
      </c>
      <c r="G87" s="49">
        <f t="shared" si="22"/>
        <v>0</v>
      </c>
      <c r="H87" s="49">
        <f t="shared" si="22"/>
        <v>0</v>
      </c>
      <c r="I87" s="49">
        <f t="shared" si="22"/>
        <v>0</v>
      </c>
      <c r="J87" s="49">
        <f t="shared" si="22"/>
        <v>0</v>
      </c>
      <c r="K87" s="49">
        <f t="shared" si="22"/>
        <v>25000</v>
      </c>
      <c r="L87" s="49">
        <f t="shared" si="22"/>
        <v>0</v>
      </c>
      <c r="M87" s="49">
        <f t="shared" si="22"/>
        <v>193200</v>
      </c>
      <c r="N87" s="49">
        <f t="shared" si="22"/>
        <v>0</v>
      </c>
      <c r="O87" s="49">
        <f t="shared" si="22"/>
        <v>48598</v>
      </c>
      <c r="P87" s="49">
        <f t="shared" si="22"/>
        <v>2131531</v>
      </c>
      <c r="Q87" s="49">
        <f t="shared" si="22"/>
        <v>1318000</v>
      </c>
      <c r="R87" s="49">
        <f t="shared" si="22"/>
        <v>405600</v>
      </c>
      <c r="S87" s="49">
        <f t="shared" si="22"/>
        <v>410388</v>
      </c>
      <c r="T87" s="49">
        <f t="shared" si="22"/>
        <v>0</v>
      </c>
      <c r="U87" s="49">
        <f t="shared" si="22"/>
        <v>97053</v>
      </c>
      <c r="V87" s="49">
        <f t="shared" si="22"/>
        <v>0</v>
      </c>
      <c r="W87" s="49">
        <f t="shared" si="22"/>
        <v>0</v>
      </c>
      <c r="X87" s="49">
        <f t="shared" si="22"/>
        <v>20000</v>
      </c>
      <c r="Y87" s="49">
        <f t="shared" si="22"/>
        <v>20000</v>
      </c>
      <c r="Z87" s="49">
        <f t="shared" si="22"/>
        <v>48000</v>
      </c>
      <c r="AA87" s="49">
        <f t="shared" si="22"/>
        <v>0</v>
      </c>
      <c r="AB87" s="49">
        <f t="shared" si="22"/>
        <v>0</v>
      </c>
      <c r="AC87" s="49">
        <f t="shared" si="22"/>
        <v>0</v>
      </c>
      <c r="AD87" s="49">
        <f t="shared" si="22"/>
        <v>5890898</v>
      </c>
      <c r="AE87" s="49">
        <f t="shared" si="22"/>
        <v>0</v>
      </c>
      <c r="AF87" s="49">
        <f t="shared" si="22"/>
        <v>0</v>
      </c>
      <c r="AG87" s="49">
        <f t="shared" si="22"/>
        <v>0</v>
      </c>
      <c r="AH87" s="50">
        <f>SUM(AH88:AH96)</f>
        <v>11862991</v>
      </c>
    </row>
    <row r="88">
      <c r="A88" s="16" t="s">
        <v>85</v>
      </c>
      <c r="B88" s="27">
        <f t="shared" si="23"/>
        <v>0</v>
      </c>
      <c r="C88" s="20">
        <v>0.0</v>
      </c>
      <c r="D88" s="20">
        <v>0.0</v>
      </c>
      <c r="E88" s="20">
        <v>0.0</v>
      </c>
      <c r="F88" s="20">
        <v>0.0</v>
      </c>
      <c r="G88" s="20">
        <v>0.0</v>
      </c>
      <c r="H88" s="20">
        <v>0.0</v>
      </c>
      <c r="I88" s="20">
        <v>0.0</v>
      </c>
      <c r="J88" s="20">
        <v>0.0</v>
      </c>
      <c r="K88" s="20">
        <v>0.0</v>
      </c>
      <c r="L88" s="20">
        <v>0.0</v>
      </c>
      <c r="M88" s="20">
        <v>0.0</v>
      </c>
      <c r="N88" s="20">
        <v>0.0</v>
      </c>
      <c r="O88" s="20">
        <v>0.0</v>
      </c>
      <c r="P88" s="20">
        <v>0.0</v>
      </c>
      <c r="Q88" s="20">
        <v>0.0</v>
      </c>
      <c r="R88" s="20">
        <v>0.0</v>
      </c>
      <c r="S88" s="20">
        <v>0.0</v>
      </c>
      <c r="T88" s="20">
        <v>0.0</v>
      </c>
      <c r="U88" s="20">
        <v>0.0</v>
      </c>
      <c r="V88" s="20">
        <v>0.0</v>
      </c>
      <c r="W88" s="20">
        <v>0.0</v>
      </c>
      <c r="X88" s="20">
        <v>0.0</v>
      </c>
      <c r="Y88" s="20">
        <v>0.0</v>
      </c>
      <c r="Z88" s="20">
        <v>0.0</v>
      </c>
      <c r="AA88" s="20">
        <v>0.0</v>
      </c>
      <c r="AB88" s="20">
        <v>0.0</v>
      </c>
      <c r="AC88" s="20">
        <v>0.0</v>
      </c>
      <c r="AD88" s="20">
        <v>0.0</v>
      </c>
      <c r="AE88" s="20">
        <v>0.0</v>
      </c>
      <c r="AF88" s="20">
        <v>0.0</v>
      </c>
      <c r="AG88" s="20">
        <v>0.0</v>
      </c>
      <c r="AH88" s="19">
        <f t="shared" ref="AH88:AH96" si="24">SUM(C88:AG88)</f>
        <v>0</v>
      </c>
    </row>
    <row r="89">
      <c r="A89" s="16" t="s">
        <v>86</v>
      </c>
      <c r="B89" s="27">
        <f t="shared" si="23"/>
        <v>0.2047689169</v>
      </c>
      <c r="C89" s="20">
        <v>0.0</v>
      </c>
      <c r="D89" s="17">
        <f>46500+50000</f>
        <v>96500</v>
      </c>
      <c r="E89" s="20">
        <f>755213+124000+48000</f>
        <v>927213</v>
      </c>
      <c r="F89" s="17">
        <v>0.0</v>
      </c>
      <c r="G89" s="20">
        <v>0.0</v>
      </c>
      <c r="H89" s="20">
        <v>0.0</v>
      </c>
      <c r="I89" s="20">
        <v>0.0</v>
      </c>
      <c r="J89" s="20">
        <v>0.0</v>
      </c>
      <c r="K89" s="20">
        <v>0.0</v>
      </c>
      <c r="L89" s="20">
        <v>0.0</v>
      </c>
      <c r="M89" s="17">
        <v>48000.0</v>
      </c>
      <c r="N89" s="20">
        <v>0.0</v>
      </c>
      <c r="O89" s="20">
        <v>0.0</v>
      </c>
      <c r="P89" s="20">
        <v>0.0</v>
      </c>
      <c r="Q89" s="20">
        <f>150000+270000+200000+200000+170500+229500</f>
        <v>1220000</v>
      </c>
      <c r="R89" s="20">
        <v>0.0</v>
      </c>
      <c r="S89" s="17">
        <f>200000+48000</f>
        <v>248000</v>
      </c>
      <c r="T89" s="20">
        <v>0.0</v>
      </c>
      <c r="U89" s="17">
        <v>97053.0</v>
      </c>
      <c r="V89" s="20">
        <v>0.0</v>
      </c>
      <c r="W89" s="20">
        <v>0.0</v>
      </c>
      <c r="X89" s="20">
        <v>0.0</v>
      </c>
      <c r="Y89" s="20">
        <v>0.0</v>
      </c>
      <c r="Z89" s="20">
        <v>0.0</v>
      </c>
      <c r="AA89" s="20">
        <v>0.0</v>
      </c>
      <c r="AB89" s="20">
        <v>0.0</v>
      </c>
      <c r="AC89" s="20">
        <v>0.0</v>
      </c>
      <c r="AD89" s="20">
        <f>401262+580000+551262+800225+600000+800000+700000+611625+301396+545128</f>
        <v>5890898</v>
      </c>
      <c r="AE89" s="20">
        <v>0.0</v>
      </c>
      <c r="AF89" s="20">
        <v>0.0</v>
      </c>
      <c r="AG89" s="20">
        <v>0.0</v>
      </c>
      <c r="AH89" s="19">
        <f t="shared" si="24"/>
        <v>8527664</v>
      </c>
    </row>
    <row r="90">
      <c r="A90" s="16" t="s">
        <v>87</v>
      </c>
      <c r="B90" s="27">
        <f t="shared" si="23"/>
        <v>0.003578170456</v>
      </c>
      <c r="C90" s="20">
        <v>0.0</v>
      </c>
      <c r="D90" s="20">
        <v>0.0</v>
      </c>
      <c r="E90" s="20">
        <v>0.0</v>
      </c>
      <c r="F90" s="20">
        <v>0.0</v>
      </c>
      <c r="G90" s="20">
        <v>0.0</v>
      </c>
      <c r="H90" s="20">
        <v>0.0</v>
      </c>
      <c r="I90" s="20">
        <v>0.0</v>
      </c>
      <c r="J90" s="20">
        <v>0.0</v>
      </c>
      <c r="K90" s="20">
        <v>0.0</v>
      </c>
      <c r="L90" s="20">
        <v>0.0</v>
      </c>
      <c r="M90" s="20">
        <v>0.0</v>
      </c>
      <c r="N90" s="20">
        <v>0.0</v>
      </c>
      <c r="O90" s="17">
        <v>3598.0</v>
      </c>
      <c r="P90" s="17">
        <v>47028.0</v>
      </c>
      <c r="Q90" s="20">
        <f>6000+12000+10000+10000</f>
        <v>38000</v>
      </c>
      <c r="R90" s="20">
        <v>0.0</v>
      </c>
      <c r="S90" s="17">
        <v>12388.0</v>
      </c>
      <c r="T90" s="20">
        <v>0.0</v>
      </c>
      <c r="U90" s="20">
        <v>0.0</v>
      </c>
      <c r="V90" s="20">
        <v>0.0</v>
      </c>
      <c r="W90" s="20">
        <v>0.0</v>
      </c>
      <c r="X90" s="20">
        <v>0.0</v>
      </c>
      <c r="Y90" s="20">
        <v>0.0</v>
      </c>
      <c r="Z90" s="17">
        <v>48000.0</v>
      </c>
      <c r="AA90" s="20">
        <v>0.0</v>
      </c>
      <c r="AB90" s="20">
        <v>0.0</v>
      </c>
      <c r="AC90" s="20">
        <v>0.0</v>
      </c>
      <c r="AD90" s="20">
        <v>0.0</v>
      </c>
      <c r="AE90" s="20">
        <v>0.0</v>
      </c>
      <c r="AF90" s="20">
        <v>0.0</v>
      </c>
      <c r="AG90" s="20">
        <v>0.0</v>
      </c>
      <c r="AH90" s="19">
        <f t="shared" si="24"/>
        <v>149014</v>
      </c>
    </row>
    <row r="91">
      <c r="A91" s="16" t="s">
        <v>88</v>
      </c>
      <c r="B91" s="27">
        <f t="shared" si="23"/>
        <v>0.006723446977</v>
      </c>
      <c r="C91" s="20">
        <v>0.0</v>
      </c>
      <c r="D91" s="17">
        <v>20000.0</v>
      </c>
      <c r="E91" s="20">
        <v>0.0</v>
      </c>
      <c r="F91" s="20">
        <v>0.0</v>
      </c>
      <c r="G91" s="20">
        <v>0.0</v>
      </c>
      <c r="H91" s="20">
        <v>0.0</v>
      </c>
      <c r="I91" s="20">
        <v>0.0</v>
      </c>
      <c r="J91" s="20">
        <v>0.0</v>
      </c>
      <c r="K91" s="17">
        <v>25000.0</v>
      </c>
      <c r="L91" s="20">
        <v>0.0</v>
      </c>
      <c r="M91" s="17">
        <v>80000.0</v>
      </c>
      <c r="N91" s="20">
        <v>0.0</v>
      </c>
      <c r="O91" s="20">
        <v>0.0</v>
      </c>
      <c r="P91" s="20">
        <v>0.0</v>
      </c>
      <c r="Q91" s="17">
        <f>35000+25000</f>
        <v>60000</v>
      </c>
      <c r="R91" s="20">
        <f>30000+25000</f>
        <v>55000</v>
      </c>
      <c r="S91" s="20">
        <v>0.0</v>
      </c>
      <c r="T91" s="20">
        <v>0.0</v>
      </c>
      <c r="U91" s="20">
        <v>0.0</v>
      </c>
      <c r="V91" s="20">
        <v>0.0</v>
      </c>
      <c r="W91" s="20">
        <v>0.0</v>
      </c>
      <c r="X91" s="17">
        <v>20000.0</v>
      </c>
      <c r="Y91" s="17">
        <v>20000.0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v>0.0</v>
      </c>
      <c r="AG91" s="20">
        <v>0.0</v>
      </c>
      <c r="AH91" s="19">
        <f t="shared" si="24"/>
        <v>280000</v>
      </c>
    </row>
    <row r="92">
      <c r="A92" s="16" t="s">
        <v>89</v>
      </c>
      <c r="B92" s="27">
        <f t="shared" si="23"/>
        <v>0.008668684261</v>
      </c>
      <c r="C92" s="20">
        <v>0.0</v>
      </c>
      <c r="D92" s="20">
        <v>0.0</v>
      </c>
      <c r="E92" s="20">
        <v>0.0</v>
      </c>
      <c r="F92" s="17">
        <v>211010.0</v>
      </c>
      <c r="G92" s="20">
        <v>0.0</v>
      </c>
      <c r="H92" s="20">
        <v>0.0</v>
      </c>
      <c r="I92" s="20">
        <v>0.0</v>
      </c>
      <c r="J92" s="20">
        <v>0.0</v>
      </c>
      <c r="K92" s="20">
        <v>0.0</v>
      </c>
      <c r="L92" s="20">
        <v>0.0</v>
      </c>
      <c r="M92" s="20">
        <v>0.0</v>
      </c>
      <c r="N92" s="20">
        <v>0.0</v>
      </c>
      <c r="O92" s="20">
        <v>0.0</v>
      </c>
      <c r="P92" s="20">
        <v>0.0</v>
      </c>
      <c r="Q92" s="20">
        <v>0.0</v>
      </c>
      <c r="R92" s="20">
        <v>0.0</v>
      </c>
      <c r="S92" s="17">
        <v>150000.0</v>
      </c>
      <c r="T92" s="20">
        <v>0.0</v>
      </c>
      <c r="U92" s="20">
        <v>0.0</v>
      </c>
      <c r="V92" s="20">
        <v>0.0</v>
      </c>
      <c r="W92" s="20">
        <v>0.0</v>
      </c>
      <c r="X92" s="20">
        <v>0.0</v>
      </c>
      <c r="Y92" s="20">
        <v>0.0</v>
      </c>
      <c r="Z92" s="20">
        <v>0.0</v>
      </c>
      <c r="AA92" s="20">
        <v>0.0</v>
      </c>
      <c r="AB92" s="20">
        <v>0.0</v>
      </c>
      <c r="AC92" s="20">
        <v>0.0</v>
      </c>
      <c r="AD92" s="20">
        <v>0.0</v>
      </c>
      <c r="AE92" s="20">
        <v>0.0</v>
      </c>
      <c r="AF92" s="20">
        <v>0.0</v>
      </c>
      <c r="AG92" s="20">
        <v>0.0</v>
      </c>
      <c r="AH92" s="19">
        <f t="shared" si="24"/>
        <v>361010</v>
      </c>
    </row>
    <row r="93">
      <c r="A93" s="16" t="s">
        <v>90</v>
      </c>
      <c r="B93" s="27">
        <f t="shared" si="23"/>
        <v>0.04640386233</v>
      </c>
      <c r="C93" s="20">
        <v>0.0</v>
      </c>
      <c r="D93" s="20">
        <v>0.0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  <c r="P93" s="17">
        <v>1932503.0</v>
      </c>
      <c r="Q93" s="20">
        <v>0.0</v>
      </c>
      <c r="R93" s="20">
        <v>0.0</v>
      </c>
      <c r="S93" s="20">
        <v>0.0</v>
      </c>
      <c r="T93" s="20">
        <v>0.0</v>
      </c>
      <c r="U93" s="20">
        <v>0.0</v>
      </c>
      <c r="V93" s="20">
        <v>0.0</v>
      </c>
      <c r="W93" s="20">
        <v>0.0</v>
      </c>
      <c r="X93" s="20">
        <v>0.0</v>
      </c>
      <c r="Y93" s="20">
        <v>0.0</v>
      </c>
      <c r="Z93" s="20">
        <v>0.0</v>
      </c>
      <c r="AA93" s="20">
        <v>0.0</v>
      </c>
      <c r="AB93" s="20">
        <v>0.0</v>
      </c>
      <c r="AC93" s="20">
        <v>0.0</v>
      </c>
      <c r="AD93" s="20">
        <v>0.0</v>
      </c>
      <c r="AE93" s="20">
        <v>0.0</v>
      </c>
      <c r="AF93" s="20">
        <v>0.0</v>
      </c>
      <c r="AG93" s="20">
        <v>0.0</v>
      </c>
      <c r="AH93" s="19">
        <f t="shared" si="24"/>
        <v>1932503</v>
      </c>
    </row>
    <row r="94">
      <c r="A94" s="16" t="s">
        <v>91</v>
      </c>
      <c r="B94" s="27">
        <f t="shared" si="23"/>
        <v>0.001080553978</v>
      </c>
      <c r="C94" s="20">
        <v>0.0</v>
      </c>
      <c r="D94" s="20">
        <v>0.0</v>
      </c>
      <c r="E94" s="20">
        <v>0.0</v>
      </c>
      <c r="F94" s="20">
        <v>0.0</v>
      </c>
      <c r="G94" s="20">
        <v>0.0</v>
      </c>
      <c r="H94" s="20">
        <v>0.0</v>
      </c>
      <c r="I94" s="20">
        <v>0.0</v>
      </c>
      <c r="J94" s="20">
        <v>0.0</v>
      </c>
      <c r="K94" s="20">
        <v>0.0</v>
      </c>
      <c r="L94" s="20">
        <v>0.0</v>
      </c>
      <c r="M94" s="20">
        <v>0.0</v>
      </c>
      <c r="N94" s="20">
        <v>0.0</v>
      </c>
      <c r="O94" s="17">
        <v>45000.0</v>
      </c>
      <c r="P94" s="20">
        <v>0.0</v>
      </c>
      <c r="Q94" s="20">
        <v>0.0</v>
      </c>
      <c r="R94" s="20">
        <v>0.0</v>
      </c>
      <c r="S94" s="20">
        <v>0.0</v>
      </c>
      <c r="T94" s="20">
        <v>0.0</v>
      </c>
      <c r="U94" s="20">
        <v>0.0</v>
      </c>
      <c r="V94" s="20">
        <v>0.0</v>
      </c>
      <c r="W94" s="20">
        <v>0.0</v>
      </c>
      <c r="X94" s="20">
        <v>0.0</v>
      </c>
      <c r="Y94" s="20">
        <v>0.0</v>
      </c>
      <c r="Z94" s="20">
        <v>0.0</v>
      </c>
      <c r="AA94" s="20">
        <v>0.0</v>
      </c>
      <c r="AB94" s="20">
        <v>0.0</v>
      </c>
      <c r="AC94" s="20">
        <v>0.0</v>
      </c>
      <c r="AD94" s="20">
        <v>0.0</v>
      </c>
      <c r="AE94" s="20">
        <v>0.0</v>
      </c>
      <c r="AF94" s="20">
        <v>0.0</v>
      </c>
      <c r="AG94" s="20">
        <v>0.0</v>
      </c>
      <c r="AH94" s="19">
        <f t="shared" si="24"/>
        <v>45000</v>
      </c>
    </row>
    <row r="95">
      <c r="A95" s="16" t="s">
        <v>92</v>
      </c>
      <c r="B95" s="27">
        <f t="shared" si="23"/>
        <v>0.001565602653</v>
      </c>
      <c r="C95" s="20">
        <v>0.0</v>
      </c>
      <c r="D95" s="20">
        <v>0.0</v>
      </c>
      <c r="E95" s="20">
        <v>0.0</v>
      </c>
      <c r="F95" s="20">
        <v>0.0</v>
      </c>
      <c r="G95" s="20">
        <v>0.0</v>
      </c>
      <c r="H95" s="20">
        <v>0.0</v>
      </c>
      <c r="I95" s="20">
        <v>0.0</v>
      </c>
      <c r="J95" s="20">
        <v>0.0</v>
      </c>
      <c r="K95" s="20">
        <v>0.0</v>
      </c>
      <c r="L95" s="20">
        <v>0.0</v>
      </c>
      <c r="M95" s="17">
        <v>65200.0</v>
      </c>
      <c r="N95" s="20">
        <v>0.0</v>
      </c>
      <c r="O95" s="20">
        <v>0.0</v>
      </c>
      <c r="P95" s="20">
        <v>0.0</v>
      </c>
      <c r="Q95" s="20">
        <v>0.0</v>
      </c>
      <c r="R95" s="20">
        <v>0.0</v>
      </c>
      <c r="S95" s="20">
        <v>0.0</v>
      </c>
      <c r="T95" s="20">
        <v>0.0</v>
      </c>
      <c r="U95" s="20">
        <v>0.0</v>
      </c>
      <c r="V95" s="20">
        <v>0.0</v>
      </c>
      <c r="W95" s="20">
        <v>0.0</v>
      </c>
      <c r="X95" s="20">
        <v>0.0</v>
      </c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20">
        <v>0.0</v>
      </c>
      <c r="AF95" s="20">
        <v>0.0</v>
      </c>
      <c r="AG95" s="20">
        <v>0.0</v>
      </c>
      <c r="AH95" s="19">
        <f t="shared" si="24"/>
        <v>65200</v>
      </c>
    </row>
    <row r="96">
      <c r="A96" s="16" t="s">
        <v>93</v>
      </c>
      <c r="B96" s="27">
        <f t="shared" si="23"/>
        <v>0.01206858732</v>
      </c>
      <c r="C96" s="20">
        <v>0.0</v>
      </c>
      <c r="D96" s="20">
        <v>0.0</v>
      </c>
      <c r="E96" s="20">
        <v>0.0</v>
      </c>
      <c r="F96" s="20">
        <v>0.0</v>
      </c>
      <c r="G96" s="20">
        <v>0.0</v>
      </c>
      <c r="H96" s="20">
        <v>0.0</v>
      </c>
      <c r="I96" s="20">
        <v>0.0</v>
      </c>
      <c r="J96" s="20">
        <v>0.0</v>
      </c>
      <c r="K96" s="20">
        <v>0.0</v>
      </c>
      <c r="L96" s="20">
        <v>0.0</v>
      </c>
      <c r="M96" s="20">
        <v>0.0</v>
      </c>
      <c r="N96" s="20">
        <v>0.0</v>
      </c>
      <c r="O96" s="20">
        <v>0.0</v>
      </c>
      <c r="P96" s="17">
        <v>152000.0</v>
      </c>
      <c r="Q96" s="17">
        <v>0.0</v>
      </c>
      <c r="R96" s="20">
        <f>170600+30000+150000</f>
        <v>350600</v>
      </c>
      <c r="S96" s="20">
        <v>0.0</v>
      </c>
      <c r="T96" s="20">
        <v>0.0</v>
      </c>
      <c r="U96" s="20">
        <v>0.0</v>
      </c>
      <c r="V96" s="20">
        <v>0.0</v>
      </c>
      <c r="W96" s="20">
        <v>0.0</v>
      </c>
      <c r="X96" s="20">
        <v>0.0</v>
      </c>
      <c r="Y96" s="20">
        <v>0.0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20">
        <v>0.0</v>
      </c>
      <c r="AF96" s="20">
        <v>0.0</v>
      </c>
      <c r="AG96" s="20">
        <v>0.0</v>
      </c>
      <c r="AH96" s="19">
        <f t="shared" si="24"/>
        <v>502600</v>
      </c>
    </row>
    <row r="97">
      <c r="A97" s="7"/>
      <c r="B97" s="8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>
      <c r="A98" s="51" t="s">
        <v>94</v>
      </c>
      <c r="B98" s="52">
        <f t="shared" ref="B98:B100" si="26">AH98/$AH$10</f>
        <v>0.1067526339</v>
      </c>
      <c r="C98" s="53">
        <f t="shared" ref="C98:AH98" si="25">SUM(C99:C100)</f>
        <v>0</v>
      </c>
      <c r="D98" s="53">
        <f t="shared" si="25"/>
        <v>0</v>
      </c>
      <c r="E98" s="53">
        <f t="shared" si="25"/>
        <v>0</v>
      </c>
      <c r="F98" s="53">
        <f t="shared" si="25"/>
        <v>0</v>
      </c>
      <c r="G98" s="53">
        <f t="shared" si="25"/>
        <v>0</v>
      </c>
      <c r="H98" s="53">
        <f t="shared" si="25"/>
        <v>0</v>
      </c>
      <c r="I98" s="53">
        <f t="shared" si="25"/>
        <v>0</v>
      </c>
      <c r="J98" s="53">
        <f t="shared" si="25"/>
        <v>0</v>
      </c>
      <c r="K98" s="53">
        <f t="shared" si="25"/>
        <v>0</v>
      </c>
      <c r="L98" s="53">
        <f t="shared" si="25"/>
        <v>0</v>
      </c>
      <c r="M98" s="53">
        <f t="shared" si="25"/>
        <v>0</v>
      </c>
      <c r="N98" s="53">
        <f t="shared" si="25"/>
        <v>0</v>
      </c>
      <c r="O98" s="53">
        <f t="shared" si="25"/>
        <v>0</v>
      </c>
      <c r="P98" s="53">
        <f t="shared" si="25"/>
        <v>0</v>
      </c>
      <c r="Q98" s="53">
        <f t="shared" si="25"/>
        <v>0</v>
      </c>
      <c r="R98" s="53">
        <f t="shared" si="25"/>
        <v>0</v>
      </c>
      <c r="S98" s="53">
        <f t="shared" si="25"/>
        <v>0</v>
      </c>
      <c r="T98" s="53">
        <f t="shared" si="25"/>
        <v>0</v>
      </c>
      <c r="U98" s="53">
        <f t="shared" si="25"/>
        <v>0</v>
      </c>
      <c r="V98" s="53">
        <f t="shared" si="25"/>
        <v>4445746</v>
      </c>
      <c r="W98" s="53">
        <f t="shared" si="25"/>
        <v>0</v>
      </c>
      <c r="X98" s="53">
        <f t="shared" si="25"/>
        <v>0</v>
      </c>
      <c r="Y98" s="53">
        <f t="shared" si="25"/>
        <v>0</v>
      </c>
      <c r="Z98" s="53">
        <f t="shared" si="25"/>
        <v>0</v>
      </c>
      <c r="AA98" s="53">
        <f t="shared" si="25"/>
        <v>0</v>
      </c>
      <c r="AB98" s="53">
        <f t="shared" si="25"/>
        <v>0</v>
      </c>
      <c r="AC98" s="53">
        <f t="shared" si="25"/>
        <v>0</v>
      </c>
      <c r="AD98" s="53">
        <f t="shared" si="25"/>
        <v>0</v>
      </c>
      <c r="AE98" s="53">
        <f t="shared" si="25"/>
        <v>0</v>
      </c>
      <c r="AF98" s="53">
        <f t="shared" si="25"/>
        <v>0</v>
      </c>
      <c r="AG98" s="53">
        <f t="shared" si="25"/>
        <v>0</v>
      </c>
      <c r="AH98" s="54">
        <f t="shared" si="25"/>
        <v>4445746</v>
      </c>
    </row>
    <row r="99">
      <c r="A99" s="16" t="s">
        <v>95</v>
      </c>
      <c r="B99" s="27">
        <f t="shared" si="26"/>
        <v>0</v>
      </c>
      <c r="C99" s="20">
        <v>0.0</v>
      </c>
      <c r="D99" s="20">
        <v>0.0</v>
      </c>
      <c r="E99" s="20">
        <v>0.0</v>
      </c>
      <c r="F99" s="20">
        <v>0.0</v>
      </c>
      <c r="G99" s="20">
        <v>0.0</v>
      </c>
      <c r="H99" s="20">
        <v>0.0</v>
      </c>
      <c r="I99" s="20">
        <v>0.0</v>
      </c>
      <c r="J99" s="20">
        <v>0.0</v>
      </c>
      <c r="K99" s="20">
        <v>0.0</v>
      </c>
      <c r="L99" s="20">
        <v>0.0</v>
      </c>
      <c r="M99" s="20">
        <v>0.0</v>
      </c>
      <c r="N99" s="20">
        <v>0.0</v>
      </c>
      <c r="O99" s="20">
        <v>0.0</v>
      </c>
      <c r="P99" s="20">
        <v>0.0</v>
      </c>
      <c r="Q99" s="20">
        <v>0.0</v>
      </c>
      <c r="R99" s="20">
        <v>0.0</v>
      </c>
      <c r="S99" s="20">
        <v>0.0</v>
      </c>
      <c r="T99" s="20">
        <v>0.0</v>
      </c>
      <c r="U99" s="20">
        <v>0.0</v>
      </c>
      <c r="V99" s="20">
        <v>0.0</v>
      </c>
      <c r="W99" s="20">
        <v>0.0</v>
      </c>
      <c r="X99" s="20">
        <v>0.0</v>
      </c>
      <c r="Y99" s="20">
        <v>0.0</v>
      </c>
      <c r="Z99" s="20">
        <v>0.0</v>
      </c>
      <c r="AA99" s="20">
        <v>0.0</v>
      </c>
      <c r="AB99" s="20">
        <v>0.0</v>
      </c>
      <c r="AC99" s="20">
        <v>0.0</v>
      </c>
      <c r="AD99" s="20">
        <v>0.0</v>
      </c>
      <c r="AE99" s="20">
        <v>0.0</v>
      </c>
      <c r="AF99" s="20">
        <v>0.0</v>
      </c>
      <c r="AG99" s="20">
        <v>0.0</v>
      </c>
      <c r="AH99" s="19">
        <f t="shared" ref="AH99:AH100" si="27">SUM(C99:AG99)</f>
        <v>0</v>
      </c>
    </row>
    <row r="100">
      <c r="A100" s="16" t="s">
        <v>96</v>
      </c>
      <c r="B100" s="27">
        <f t="shared" si="26"/>
        <v>0.1067526339</v>
      </c>
      <c r="C100" s="20">
        <v>0.0</v>
      </c>
      <c r="D100" s="20">
        <v>0.0</v>
      </c>
      <c r="E100" s="20">
        <v>0.0</v>
      </c>
      <c r="F100" s="20">
        <v>0.0</v>
      </c>
      <c r="G100" s="20">
        <v>0.0</v>
      </c>
      <c r="H100" s="20">
        <v>0.0</v>
      </c>
      <c r="I100" s="20">
        <v>0.0</v>
      </c>
      <c r="J100" s="20">
        <v>0.0</v>
      </c>
      <c r="K100" s="20">
        <v>0.0</v>
      </c>
      <c r="L100" s="20">
        <v>0.0</v>
      </c>
      <c r="M100" s="20">
        <v>0.0</v>
      </c>
      <c r="N100" s="20">
        <v>0.0</v>
      </c>
      <c r="O100" s="20">
        <v>0.0</v>
      </c>
      <c r="P100" s="20">
        <v>0.0</v>
      </c>
      <c r="Q100" s="20">
        <v>0.0</v>
      </c>
      <c r="R100" s="20">
        <v>0.0</v>
      </c>
      <c r="S100" s="20">
        <v>0.0</v>
      </c>
      <c r="T100" s="20">
        <v>0.0</v>
      </c>
      <c r="U100" s="20">
        <v>0.0</v>
      </c>
      <c r="V100" s="17">
        <v>4445746.0</v>
      </c>
      <c r="W100" s="20">
        <v>0.0</v>
      </c>
      <c r="X100" s="20">
        <v>0.0</v>
      </c>
      <c r="Y100" s="20">
        <v>0.0</v>
      </c>
      <c r="Z100" s="20">
        <v>0.0</v>
      </c>
      <c r="AA100" s="20">
        <v>0.0</v>
      </c>
      <c r="AB100" s="20">
        <v>0.0</v>
      </c>
      <c r="AC100" s="20">
        <v>0.0</v>
      </c>
      <c r="AD100" s="20">
        <v>0.0</v>
      </c>
      <c r="AE100" s="20">
        <v>0.0</v>
      </c>
      <c r="AF100" s="20">
        <v>0.0</v>
      </c>
      <c r="AG100" s="20">
        <v>0.0</v>
      </c>
      <c r="AH100" s="19">
        <f t="shared" si="27"/>
        <v>4445746</v>
      </c>
    </row>
    <row r="101">
      <c r="A101" s="7"/>
      <c r="B101" s="8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7"/>
      <c r="AH101" s="7"/>
    </row>
    <row r="102">
      <c r="A102" s="55" t="s">
        <v>97</v>
      </c>
      <c r="B102" s="56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8"/>
      <c r="AH102" s="38">
        <f>AH103+AH104</f>
        <v>1760416</v>
      </c>
    </row>
    <row r="103">
      <c r="A103" s="16" t="s">
        <v>98</v>
      </c>
      <c r="B103" s="8"/>
      <c r="C103" s="20">
        <v>0.0</v>
      </c>
      <c r="D103" s="20">
        <v>0.0</v>
      </c>
      <c r="E103" s="20">
        <v>0.0</v>
      </c>
      <c r="F103" s="20">
        <v>0.0</v>
      </c>
      <c r="G103" s="20">
        <v>0.0</v>
      </c>
      <c r="H103" s="20">
        <v>0.0</v>
      </c>
      <c r="I103" s="20">
        <v>0.0</v>
      </c>
      <c r="J103" s="20">
        <v>0.0</v>
      </c>
      <c r="K103" s="20">
        <v>0.0</v>
      </c>
      <c r="L103" s="20">
        <v>0.0</v>
      </c>
      <c r="M103" s="20">
        <v>0.0</v>
      </c>
      <c r="N103" s="20">
        <v>0.0</v>
      </c>
      <c r="O103" s="20">
        <v>0.0</v>
      </c>
      <c r="P103" s="20">
        <v>0.0</v>
      </c>
      <c r="Q103" s="20">
        <v>0.0</v>
      </c>
      <c r="R103" s="20">
        <v>0.0</v>
      </c>
      <c r="S103" s="20">
        <v>0.0</v>
      </c>
      <c r="T103" s="20">
        <v>0.0</v>
      </c>
      <c r="U103" s="20">
        <v>0.0</v>
      </c>
      <c r="V103" s="20">
        <v>0.0</v>
      </c>
      <c r="W103" s="20">
        <v>0.0</v>
      </c>
      <c r="X103" s="20">
        <v>0.0</v>
      </c>
      <c r="Y103" s="20">
        <v>0.0</v>
      </c>
      <c r="Z103" s="20">
        <v>0.0</v>
      </c>
      <c r="AA103" s="20">
        <v>0.0</v>
      </c>
      <c r="AB103" s="17">
        <v>1760416.0</v>
      </c>
      <c r="AC103" s="20">
        <v>0.0</v>
      </c>
      <c r="AD103" s="20">
        <v>0.0</v>
      </c>
      <c r="AE103" s="17">
        <v>0.0</v>
      </c>
      <c r="AF103" s="20">
        <v>0.0</v>
      </c>
      <c r="AG103" s="20">
        <v>0.0</v>
      </c>
      <c r="AH103" s="59">
        <f t="shared" ref="AH103:AH104" si="28">sum(C103:AG103)</f>
        <v>1760416</v>
      </c>
    </row>
    <row r="104">
      <c r="A104" s="7"/>
      <c r="B104" s="8"/>
      <c r="C104" s="20">
        <v>0.0</v>
      </c>
      <c r="D104" s="20">
        <v>0.0</v>
      </c>
      <c r="E104" s="20">
        <v>0.0</v>
      </c>
      <c r="F104" s="20">
        <v>0.0</v>
      </c>
      <c r="G104" s="20">
        <v>0.0</v>
      </c>
      <c r="H104" s="20">
        <v>0.0</v>
      </c>
      <c r="I104" s="20">
        <v>0.0</v>
      </c>
      <c r="J104" s="20">
        <v>0.0</v>
      </c>
      <c r="K104" s="20">
        <v>0.0</v>
      </c>
      <c r="L104" s="20">
        <v>0.0</v>
      </c>
      <c r="M104" s="20">
        <v>0.0</v>
      </c>
      <c r="N104" s="20">
        <v>0.0</v>
      </c>
      <c r="O104" s="20">
        <v>0.0</v>
      </c>
      <c r="P104" s="20">
        <v>0.0</v>
      </c>
      <c r="Q104" s="20">
        <v>0.0</v>
      </c>
      <c r="R104" s="20">
        <v>0.0</v>
      </c>
      <c r="S104" s="20">
        <v>0.0</v>
      </c>
      <c r="T104" s="20">
        <v>0.0</v>
      </c>
      <c r="U104" s="20">
        <v>0.0</v>
      </c>
      <c r="V104" s="20">
        <v>0.0</v>
      </c>
      <c r="W104" s="20">
        <v>0.0</v>
      </c>
      <c r="X104" s="20">
        <v>0.0</v>
      </c>
      <c r="Y104" s="20">
        <v>0.0</v>
      </c>
      <c r="Z104" s="20">
        <v>0.0</v>
      </c>
      <c r="AA104" s="20">
        <v>0.0</v>
      </c>
      <c r="AB104" s="20">
        <v>0.0</v>
      </c>
      <c r="AC104" s="20">
        <v>0.0</v>
      </c>
      <c r="AD104" s="20">
        <v>0.0</v>
      </c>
      <c r="AE104" s="20">
        <v>0.0</v>
      </c>
      <c r="AF104" s="20">
        <v>0.0</v>
      </c>
      <c r="AG104" s="20">
        <v>0.0</v>
      </c>
      <c r="AH104" s="59">
        <f t="shared" si="28"/>
        <v>0</v>
      </c>
    </row>
    <row r="105">
      <c r="A105" s="7"/>
      <c r="B105" s="8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7"/>
      <c r="AH105" s="7"/>
    </row>
    <row r="106">
      <c r="A106" s="60" t="s">
        <v>99</v>
      </c>
      <c r="B106" s="61"/>
      <c r="C106" s="62">
        <f t="shared" ref="C106:AG106" si="29">C98+C87+C81+C32+C76+C12+C103+C104</f>
        <v>827960</v>
      </c>
      <c r="D106" s="62">
        <f t="shared" si="29"/>
        <v>882485</v>
      </c>
      <c r="E106" s="62">
        <f t="shared" si="29"/>
        <v>2009025</v>
      </c>
      <c r="F106" s="62">
        <f t="shared" si="29"/>
        <v>367846</v>
      </c>
      <c r="G106" s="62">
        <f t="shared" si="29"/>
        <v>1075106</v>
      </c>
      <c r="H106" s="62">
        <f t="shared" si="29"/>
        <v>2610988</v>
      </c>
      <c r="I106" s="62">
        <f t="shared" si="29"/>
        <v>176918</v>
      </c>
      <c r="J106" s="62">
        <f t="shared" si="29"/>
        <v>376826</v>
      </c>
      <c r="K106" s="62">
        <f t="shared" si="29"/>
        <v>1415025</v>
      </c>
      <c r="L106" s="62">
        <f t="shared" si="29"/>
        <v>1869046</v>
      </c>
      <c r="M106" s="62">
        <f t="shared" si="29"/>
        <v>972838</v>
      </c>
      <c r="N106" s="62">
        <f t="shared" si="29"/>
        <v>3476455</v>
      </c>
      <c r="O106" s="62">
        <f t="shared" si="29"/>
        <v>466636</v>
      </c>
      <c r="P106" s="62">
        <f t="shared" si="29"/>
        <v>2398801</v>
      </c>
      <c r="Q106" s="62">
        <f t="shared" si="29"/>
        <v>1458638</v>
      </c>
      <c r="R106" s="62">
        <f t="shared" si="29"/>
        <v>1662908</v>
      </c>
      <c r="S106" s="62">
        <f t="shared" si="29"/>
        <v>2309454</v>
      </c>
      <c r="T106" s="62">
        <f t="shared" si="29"/>
        <v>975933</v>
      </c>
      <c r="U106" s="62">
        <f t="shared" si="29"/>
        <v>1016191</v>
      </c>
      <c r="V106" s="62">
        <f t="shared" si="29"/>
        <v>5239393</v>
      </c>
      <c r="W106" s="62">
        <f t="shared" si="29"/>
        <v>60000</v>
      </c>
      <c r="X106" s="62">
        <f t="shared" si="29"/>
        <v>20000</v>
      </c>
      <c r="Y106" s="62">
        <f t="shared" si="29"/>
        <v>875152</v>
      </c>
      <c r="Z106" s="62">
        <f t="shared" si="29"/>
        <v>2588211</v>
      </c>
      <c r="AA106" s="62">
        <f t="shared" si="29"/>
        <v>186930</v>
      </c>
      <c r="AB106" s="62">
        <f t="shared" si="29"/>
        <v>1811021</v>
      </c>
      <c r="AC106" s="62">
        <f t="shared" si="29"/>
        <v>576473</v>
      </c>
      <c r="AD106" s="62">
        <f t="shared" si="29"/>
        <v>7340327</v>
      </c>
      <c r="AE106" s="62">
        <f t="shared" si="29"/>
        <v>0</v>
      </c>
      <c r="AF106" s="62">
        <f t="shared" si="29"/>
        <v>0</v>
      </c>
      <c r="AG106" s="62">
        <f t="shared" si="29"/>
        <v>0</v>
      </c>
      <c r="AH106" s="63">
        <f>sum(C106:AF106)</f>
        <v>45046586</v>
      </c>
    </row>
    <row r="107">
      <c r="A107" s="64" t="s">
        <v>100</v>
      </c>
      <c r="B107" s="65"/>
      <c r="C107" s="63">
        <f t="shared" ref="C107:AG107" si="30">C98+C87+C32+C76+C12</f>
        <v>827960</v>
      </c>
      <c r="D107" s="63">
        <f t="shared" si="30"/>
        <v>287440</v>
      </c>
      <c r="E107" s="63">
        <f t="shared" si="30"/>
        <v>1731875</v>
      </c>
      <c r="F107" s="63">
        <f t="shared" si="30"/>
        <v>367846</v>
      </c>
      <c r="G107" s="63">
        <f t="shared" si="30"/>
        <v>856785</v>
      </c>
      <c r="H107" s="63">
        <f t="shared" si="30"/>
        <v>2610988</v>
      </c>
      <c r="I107" s="63">
        <f t="shared" si="30"/>
        <v>176918</v>
      </c>
      <c r="J107" s="63">
        <f t="shared" si="30"/>
        <v>376826</v>
      </c>
      <c r="K107" s="63">
        <f t="shared" si="30"/>
        <v>830022</v>
      </c>
      <c r="L107" s="63">
        <f t="shared" si="30"/>
        <v>1719046</v>
      </c>
      <c r="M107" s="63">
        <f t="shared" si="30"/>
        <v>921938</v>
      </c>
      <c r="N107" s="63">
        <f t="shared" si="30"/>
        <v>3476455</v>
      </c>
      <c r="O107" s="63">
        <f t="shared" si="30"/>
        <v>270519</v>
      </c>
      <c r="P107" s="63">
        <f t="shared" si="30"/>
        <v>2398801</v>
      </c>
      <c r="Q107" s="63">
        <f t="shared" si="30"/>
        <v>1458638</v>
      </c>
      <c r="R107" s="63">
        <f t="shared" si="30"/>
        <v>656301</v>
      </c>
      <c r="S107" s="63">
        <f t="shared" si="30"/>
        <v>2081954</v>
      </c>
      <c r="T107" s="63">
        <f t="shared" si="30"/>
        <v>975933</v>
      </c>
      <c r="U107" s="63">
        <f t="shared" si="30"/>
        <v>1016191</v>
      </c>
      <c r="V107" s="63">
        <f t="shared" si="30"/>
        <v>5004583</v>
      </c>
      <c r="W107" s="63">
        <f t="shared" si="30"/>
        <v>60000</v>
      </c>
      <c r="X107" s="63">
        <f t="shared" si="30"/>
        <v>20000</v>
      </c>
      <c r="Y107" s="63">
        <f t="shared" si="30"/>
        <v>307552</v>
      </c>
      <c r="Z107" s="63">
        <f t="shared" si="30"/>
        <v>2357111</v>
      </c>
      <c r="AA107" s="63">
        <f t="shared" si="30"/>
        <v>186930</v>
      </c>
      <c r="AB107" s="63">
        <f t="shared" si="30"/>
        <v>50605</v>
      </c>
      <c r="AC107" s="63">
        <f t="shared" si="30"/>
        <v>428451</v>
      </c>
      <c r="AD107" s="63">
        <f t="shared" si="30"/>
        <v>7340327</v>
      </c>
      <c r="AE107" s="63">
        <f t="shared" si="30"/>
        <v>0</v>
      </c>
      <c r="AF107" s="63">
        <f t="shared" si="30"/>
        <v>0</v>
      </c>
      <c r="AG107" s="63">
        <f t="shared" si="30"/>
        <v>0</v>
      </c>
      <c r="AH107" s="63">
        <f>sum(C107:AG107)</f>
        <v>38797995</v>
      </c>
    </row>
    <row r="108">
      <c r="A108" s="7"/>
      <c r="B108" s="8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7"/>
      <c r="AH108" s="7"/>
    </row>
    <row r="109">
      <c r="A109" s="21" t="s">
        <v>101</v>
      </c>
      <c r="B109" s="27">
        <f>AH109/$AH$10</f>
        <v>0.06837049218</v>
      </c>
      <c r="C109" s="22">
        <f t="shared" ref="C109:AG109" si="31">C9-C107</f>
        <v>1987475</v>
      </c>
      <c r="D109" s="22">
        <f t="shared" si="31"/>
        <v>1004063</v>
      </c>
      <c r="E109" s="22">
        <f t="shared" si="31"/>
        <v>-505126</v>
      </c>
      <c r="F109" s="22">
        <f t="shared" si="31"/>
        <v>702347</v>
      </c>
      <c r="G109" s="22">
        <f t="shared" si="31"/>
        <v>434194</v>
      </c>
      <c r="H109" s="22">
        <f t="shared" si="31"/>
        <v>-1272393</v>
      </c>
      <c r="I109" s="22">
        <f t="shared" si="31"/>
        <v>1633922</v>
      </c>
      <c r="J109" s="22">
        <f t="shared" si="31"/>
        <v>2023578</v>
      </c>
      <c r="K109" s="22">
        <f t="shared" si="31"/>
        <v>621542</v>
      </c>
      <c r="L109" s="22">
        <f t="shared" si="31"/>
        <v>-1094814</v>
      </c>
      <c r="M109" s="22">
        <f t="shared" si="31"/>
        <v>588837</v>
      </c>
      <c r="N109" s="22">
        <f t="shared" si="31"/>
        <v>-2192134</v>
      </c>
      <c r="O109" s="22">
        <f t="shared" si="31"/>
        <v>1277840</v>
      </c>
      <c r="P109" s="22">
        <f t="shared" si="31"/>
        <v>486572</v>
      </c>
      <c r="Q109" s="22">
        <f t="shared" si="31"/>
        <v>5046926</v>
      </c>
      <c r="R109" s="22">
        <f t="shared" si="31"/>
        <v>468489</v>
      </c>
      <c r="S109" s="22">
        <f t="shared" si="31"/>
        <v>-1580619</v>
      </c>
      <c r="T109" s="22">
        <f t="shared" si="31"/>
        <v>949941</v>
      </c>
      <c r="U109" s="22">
        <f t="shared" si="31"/>
        <v>500872</v>
      </c>
      <c r="V109" s="22">
        <f t="shared" si="31"/>
        <v>-3745818</v>
      </c>
      <c r="W109" s="22">
        <f t="shared" si="31"/>
        <v>1358684</v>
      </c>
      <c r="X109" s="22">
        <f t="shared" si="31"/>
        <v>1865432</v>
      </c>
      <c r="Y109" s="22">
        <f t="shared" si="31"/>
        <v>1100879</v>
      </c>
      <c r="Z109" s="22">
        <f t="shared" si="31"/>
        <v>-1453243</v>
      </c>
      <c r="AA109" s="22">
        <f t="shared" si="31"/>
        <v>1038746</v>
      </c>
      <c r="AB109" s="22">
        <f t="shared" si="31"/>
        <v>1253552</v>
      </c>
      <c r="AC109" s="22">
        <f t="shared" si="31"/>
        <v>620310</v>
      </c>
      <c r="AD109" s="22">
        <f t="shared" si="31"/>
        <v>-5784569</v>
      </c>
      <c r="AE109" s="22">
        <f t="shared" si="31"/>
        <v>0</v>
      </c>
      <c r="AF109" s="22">
        <f t="shared" si="31"/>
        <v>0</v>
      </c>
      <c r="AG109" s="22">
        <f t="shared" si="31"/>
        <v>0</v>
      </c>
      <c r="AH109" s="19">
        <f>AH10-AH107</f>
        <v>2847310</v>
      </c>
    </row>
    <row r="110">
      <c r="A110" s="7"/>
      <c r="B110" s="8"/>
      <c r="C110" s="66"/>
      <c r="D110" s="66"/>
      <c r="E110" s="66"/>
      <c r="F110" s="66"/>
      <c r="G110" s="66"/>
      <c r="H110" s="66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7"/>
      <c r="B1002" s="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7"/>
      <c r="B1003" s="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7"/>
      <c r="B1004" s="8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7"/>
      <c r="B1005" s="8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7"/>
      <c r="B1006" s="8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7"/>
      <c r="B1007" s="8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7"/>
      <c r="B1008" s="8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7"/>
      <c r="B1009" s="8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7"/>
      <c r="B1010" s="8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7"/>
      <c r="B1011" s="8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7"/>
      <c r="B1012" s="8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7"/>
      <c r="B1013" s="8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7"/>
      <c r="B1014" s="8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7"/>
      <c r="B1015" s="8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7"/>
      <c r="B1016" s="8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>
      <c r="A1017" s="7"/>
      <c r="B1017" s="8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>
      <c r="A1018" s="7"/>
      <c r="B1018" s="8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>
      <c r="A1019" s="7"/>
      <c r="B1019" s="8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>
      <c r="A1020" s="7"/>
      <c r="B1020" s="8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>
      <c r="A1021" s="7"/>
      <c r="B1021" s="8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>
      <c r="A1022" s="7"/>
      <c r="B1022" s="8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>
      <c r="A1023" s="7"/>
      <c r="B1023" s="8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>
      <c r="A1024" s="7"/>
      <c r="B1024" s="8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>
      <c r="A1025" s="7"/>
      <c r="B1025" s="8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>
      <c r="A1026" s="7"/>
      <c r="B1026" s="8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>
      <c r="A1027" s="7"/>
      <c r="B1027" s="8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>
      <c r="A1028" s="7"/>
      <c r="B1028" s="8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>
      <c r="A1029" s="7"/>
      <c r="B1029" s="8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>
      <c r="A1030" s="7"/>
      <c r="B1030" s="8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>
      <c r="A1031" s="7"/>
      <c r="B1031" s="8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>
      <c r="A1032" s="7"/>
      <c r="B1032" s="8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>
      <c r="A1033" s="7"/>
      <c r="B1033" s="8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>
      <c r="A1034" s="7"/>
      <c r="B1034" s="8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>
      <c r="A1035" s="7"/>
      <c r="B1035" s="8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>
      <c r="A1036" s="7"/>
      <c r="B1036" s="8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>
      <c r="A1037" s="7"/>
      <c r="B1037" s="8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>
      <c r="A1038" s="7"/>
      <c r="B1038" s="8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>
      <c r="A1039" s="7"/>
      <c r="B1039" s="8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>
      <c r="A1040" s="7"/>
      <c r="B1040" s="8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>
      <c r="A1041" s="7"/>
      <c r="B1041" s="8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>
      <c r="A1042" s="7"/>
      <c r="B1042" s="8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>
      <c r="A1043" s="7"/>
      <c r="B1043" s="8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>
      <c r="A1044" s="7"/>
      <c r="B1044" s="8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>
      <c r="A1045" s="7"/>
      <c r="B1045" s="8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>
      <c r="A1046" s="7"/>
      <c r="B1046" s="8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>
      <c r="A1047" s="7"/>
      <c r="B1047" s="8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>
      <c r="A1048" s="7"/>
      <c r="B1048" s="8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>
      <c r="A1049" s="7"/>
      <c r="B1049" s="8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63"/>
  </cols>
  <sheetData>
    <row r="1">
      <c r="A1" s="1"/>
      <c r="B1" s="3"/>
      <c r="C1" s="4">
        <v>46082.0</v>
      </c>
      <c r="D1" s="4">
        <v>46083.0</v>
      </c>
      <c r="E1" s="4">
        <v>46084.0</v>
      </c>
      <c r="F1" s="4">
        <v>46085.0</v>
      </c>
      <c r="G1" s="4">
        <v>46086.0</v>
      </c>
      <c r="H1" s="4">
        <v>46087.0</v>
      </c>
      <c r="I1" s="4">
        <v>46088.0</v>
      </c>
      <c r="J1" s="4">
        <v>46089.0</v>
      </c>
      <c r="K1" s="4">
        <v>46090.0</v>
      </c>
      <c r="L1" s="4">
        <v>46091.0</v>
      </c>
      <c r="M1" s="4">
        <v>46092.0</v>
      </c>
      <c r="N1" s="4">
        <v>46093.0</v>
      </c>
      <c r="O1" s="4">
        <v>46094.0</v>
      </c>
      <c r="P1" s="4">
        <v>46095.0</v>
      </c>
      <c r="Q1" s="4">
        <v>46096.0</v>
      </c>
      <c r="R1" s="4">
        <v>46097.0</v>
      </c>
      <c r="S1" s="4">
        <v>46098.0</v>
      </c>
      <c r="T1" s="4">
        <v>46099.0</v>
      </c>
      <c r="U1" s="4">
        <v>46100.0</v>
      </c>
      <c r="V1" s="4">
        <v>46101.0</v>
      </c>
      <c r="W1" s="4">
        <v>46102.0</v>
      </c>
      <c r="X1" s="4">
        <v>46103.0</v>
      </c>
      <c r="Y1" s="4">
        <v>46104.0</v>
      </c>
      <c r="Z1" s="4">
        <v>46105.0</v>
      </c>
      <c r="AA1" s="4">
        <v>46106.0</v>
      </c>
      <c r="AB1" s="4">
        <v>46107.0</v>
      </c>
      <c r="AC1" s="4">
        <v>46108.0</v>
      </c>
      <c r="AD1" s="4">
        <v>46109.0</v>
      </c>
      <c r="AE1" s="4">
        <v>46110.0</v>
      </c>
      <c r="AF1" s="4">
        <v>46111.0</v>
      </c>
      <c r="AG1" s="4">
        <v>46112.0</v>
      </c>
      <c r="AH1" s="6" t="s">
        <v>1</v>
      </c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7"/>
      <c r="AH2" s="7"/>
    </row>
    <row r="3">
      <c r="A3" s="7"/>
      <c r="B3" s="8"/>
      <c r="C3" s="10"/>
      <c r="D3" s="10"/>
      <c r="E3" s="10"/>
      <c r="F3" s="10"/>
      <c r="G3" s="10"/>
      <c r="H3" s="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11" t="s">
        <v>2</v>
      </c>
      <c r="B4" s="12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16" t="s">
        <v>3</v>
      </c>
      <c r="B5" s="8"/>
      <c r="C5" s="17">
        <f>101972+558399+1912448</f>
        <v>2572819</v>
      </c>
      <c r="D5" s="17">
        <f>10402+235655+1074530</f>
        <v>1320587</v>
      </c>
      <c r="E5" s="17">
        <f>218017+30292</f>
        <v>248309</v>
      </c>
      <c r="F5" s="17">
        <f>36170+666573+667006+15943</f>
        <v>1385692</v>
      </c>
      <c r="G5" s="17">
        <f>439805+320141+61779+28796</f>
        <v>850521</v>
      </c>
      <c r="H5" s="17">
        <f>572819+95070+536572+29195</f>
        <v>1233656</v>
      </c>
      <c r="I5" s="17">
        <f>111004+957263+812195+209298</f>
        <v>2089760</v>
      </c>
      <c r="J5" s="17">
        <f>1542953+566171+43843+99344+17647</f>
        <v>2269958</v>
      </c>
      <c r="K5" s="17">
        <f>87089+1159007+161522+34742</f>
        <v>1442360</v>
      </c>
      <c r="L5" s="17">
        <f>30591+74469</f>
        <v>105060</v>
      </c>
      <c r="M5" s="17">
        <f>470324+632956+66185</f>
        <v>1169465</v>
      </c>
      <c r="N5" s="17">
        <f>725159+370053+26405</f>
        <v>1121617</v>
      </c>
      <c r="O5" s="17">
        <f>22419+916538+374056+75031</f>
        <v>1388044</v>
      </c>
      <c r="P5" s="17">
        <f>554234+19730+1082502+23117+28479</f>
        <v>1708062</v>
      </c>
      <c r="Q5" s="17">
        <f>45936+421095+1088033+158633</f>
        <v>1713697</v>
      </c>
      <c r="R5" s="17">
        <f>200383+684768+28700</f>
        <v>913851</v>
      </c>
      <c r="S5" s="17">
        <f>45230+23217+2872+S6</f>
        <v>71319</v>
      </c>
      <c r="T5" s="17">
        <f>514361+442837+36104+8868+38761</f>
        <v>1040931</v>
      </c>
      <c r="U5" s="17">
        <f>244245+639804+46155+35771</f>
        <v>965975</v>
      </c>
      <c r="V5" s="17">
        <f>11709+235237+61580+784927</f>
        <v>1093453</v>
      </c>
      <c r="W5" s="18">
        <f>712418+630939+46434+144796</f>
        <v>1534587</v>
      </c>
      <c r="X5" s="17">
        <f>604572+969415+101938</f>
        <v>1675925</v>
      </c>
      <c r="Y5" s="17">
        <f>12271+837071+440924+50519</f>
        <v>1340785</v>
      </c>
      <c r="Z5" s="17">
        <v>19950.0</v>
      </c>
      <c r="AA5" s="17">
        <f>16540+379476+578204</f>
        <v>974220</v>
      </c>
      <c r="AB5" s="17">
        <f>464555+32982+292650+54841</f>
        <v>845028</v>
      </c>
      <c r="AC5" s="17">
        <f>228610+939251+23317+36060+25807</f>
        <v>1253045</v>
      </c>
      <c r="AD5" s="17">
        <f>731697+414855+113593</f>
        <v>1260145</v>
      </c>
      <c r="AE5" s="17">
        <f>54306+119073+651539+1448251+53011</f>
        <v>2326180</v>
      </c>
      <c r="AF5" s="17">
        <f>166104+803143</f>
        <v>969247</v>
      </c>
      <c r="AG5" s="17">
        <f>16671+54305+278841</f>
        <v>349817</v>
      </c>
      <c r="AH5" s="19">
        <f t="shared" ref="AH5:AH8" si="1">SUM(C5:AG5)</f>
        <v>37254065</v>
      </c>
    </row>
    <row r="6">
      <c r="A6" s="16" t="s">
        <v>4</v>
      </c>
      <c r="B6" s="8"/>
      <c r="C6" s="17">
        <v>0.0</v>
      </c>
      <c r="D6" s="17">
        <v>0.0</v>
      </c>
      <c r="E6" s="17">
        <v>0.0</v>
      </c>
      <c r="F6" s="17">
        <v>25900.0</v>
      </c>
      <c r="G6" s="17">
        <v>26220.0</v>
      </c>
      <c r="H6" s="17">
        <v>0.0</v>
      </c>
      <c r="I6" s="17">
        <v>1800.0</v>
      </c>
      <c r="J6" s="17">
        <v>0.0</v>
      </c>
      <c r="K6" s="17">
        <v>0.0</v>
      </c>
      <c r="L6" s="17">
        <v>0.0</v>
      </c>
      <c r="M6" s="17">
        <v>25900.0</v>
      </c>
      <c r="N6" s="17">
        <v>0.0</v>
      </c>
      <c r="O6" s="17">
        <v>198650.0</v>
      </c>
      <c r="P6" s="17">
        <v>14700.0</v>
      </c>
      <c r="Q6" s="17">
        <v>0.0</v>
      </c>
      <c r="R6" s="17">
        <v>0.0</v>
      </c>
      <c r="S6" s="17">
        <v>0.0</v>
      </c>
      <c r="T6" s="17">
        <v>0.0</v>
      </c>
      <c r="U6" s="17">
        <v>0.0</v>
      </c>
      <c r="V6" s="17">
        <v>0.0</v>
      </c>
      <c r="W6" s="17">
        <v>0.0</v>
      </c>
      <c r="X6" s="17">
        <v>0.0</v>
      </c>
      <c r="Y6" s="17">
        <v>0.0</v>
      </c>
      <c r="Z6" s="17">
        <v>0.0</v>
      </c>
      <c r="AA6" s="17">
        <v>0.0</v>
      </c>
      <c r="AB6" s="17">
        <v>67200.0</v>
      </c>
      <c r="AC6" s="17">
        <v>0.0</v>
      </c>
      <c r="AD6" s="17">
        <v>12900.0</v>
      </c>
      <c r="AE6" s="17">
        <v>42000.0</v>
      </c>
      <c r="AF6" s="17">
        <v>16240.0</v>
      </c>
      <c r="AG6" s="17">
        <v>0.0</v>
      </c>
      <c r="AH6" s="19">
        <f t="shared" si="1"/>
        <v>431510</v>
      </c>
    </row>
    <row r="7">
      <c r="A7" s="16" t="s">
        <v>5</v>
      </c>
      <c r="B7" s="8"/>
      <c r="C7" s="17">
        <v>0.0</v>
      </c>
      <c r="D7" s="17">
        <v>0.0</v>
      </c>
      <c r="E7" s="17">
        <v>0.0</v>
      </c>
      <c r="F7" s="17">
        <v>0.0</v>
      </c>
      <c r="G7" s="17">
        <v>0.0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17">
        <v>0.0</v>
      </c>
      <c r="Z7" s="17">
        <v>0.0</v>
      </c>
      <c r="AA7" s="17">
        <v>0.0</v>
      </c>
      <c r="AB7" s="17">
        <v>0.0</v>
      </c>
      <c r="AC7" s="17">
        <v>0.0</v>
      </c>
      <c r="AD7" s="17">
        <v>0.0</v>
      </c>
      <c r="AE7" s="17">
        <v>0.0</v>
      </c>
      <c r="AF7" s="17">
        <v>0.0</v>
      </c>
      <c r="AG7" s="17">
        <v>200000.0</v>
      </c>
      <c r="AH7" s="19">
        <f t="shared" si="1"/>
        <v>200000</v>
      </c>
    </row>
    <row r="8">
      <c r="A8" s="16" t="s">
        <v>6</v>
      </c>
      <c r="B8" s="8"/>
      <c r="C8" s="17">
        <v>0.0</v>
      </c>
      <c r="D8" s="17">
        <v>0.0</v>
      </c>
      <c r="E8" s="17">
        <f>285025+529384</f>
        <v>814409</v>
      </c>
      <c r="F8" s="17">
        <v>0.0</v>
      </c>
      <c r="G8" s="17">
        <v>0.0</v>
      </c>
      <c r="H8" s="17">
        <v>0.0</v>
      </c>
      <c r="I8" s="17">
        <v>0.0</v>
      </c>
      <c r="J8" s="17">
        <v>0.0</v>
      </c>
      <c r="K8" s="17">
        <v>0.0</v>
      </c>
      <c r="L8" s="17">
        <f>444793+162633</f>
        <v>607426</v>
      </c>
      <c r="M8" s="17">
        <v>0.0</v>
      </c>
      <c r="N8" s="17">
        <v>0.0</v>
      </c>
      <c r="O8" s="17">
        <v>0.0</v>
      </c>
      <c r="P8" s="17">
        <v>0.0</v>
      </c>
      <c r="Q8" s="17">
        <v>0.0</v>
      </c>
      <c r="R8" s="17">
        <v>0.0</v>
      </c>
      <c r="S8" s="17">
        <f>496444+194626</f>
        <v>691070</v>
      </c>
      <c r="T8" s="17">
        <v>0.0</v>
      </c>
      <c r="U8" s="17">
        <v>0.0</v>
      </c>
      <c r="V8" s="17">
        <v>0.0</v>
      </c>
      <c r="W8" s="17">
        <v>0.0</v>
      </c>
      <c r="X8" s="17">
        <v>0.0</v>
      </c>
      <c r="Y8" s="17">
        <v>0.0</v>
      </c>
      <c r="Z8" s="17">
        <f>562344+259622</f>
        <v>821966</v>
      </c>
      <c r="AA8" s="17">
        <v>0.0</v>
      </c>
      <c r="AB8" s="17">
        <v>0.0</v>
      </c>
      <c r="AC8" s="17">
        <v>0.0</v>
      </c>
      <c r="AD8" s="17">
        <v>0.0</v>
      </c>
      <c r="AE8" s="17">
        <v>0.0</v>
      </c>
      <c r="AF8" s="17">
        <v>0.0</v>
      </c>
      <c r="AG8" s="17">
        <v>0.0</v>
      </c>
      <c r="AH8" s="19">
        <f t="shared" si="1"/>
        <v>2934871</v>
      </c>
    </row>
    <row r="9">
      <c r="A9" s="21" t="s">
        <v>7</v>
      </c>
      <c r="B9" s="8"/>
      <c r="C9" s="22">
        <f t="shared" ref="C9:AH9" si="2">SUM(C5:C8)</f>
        <v>2572819</v>
      </c>
      <c r="D9" s="22">
        <f t="shared" si="2"/>
        <v>1320587</v>
      </c>
      <c r="E9" s="22">
        <f t="shared" si="2"/>
        <v>1062718</v>
      </c>
      <c r="F9" s="22">
        <f t="shared" si="2"/>
        <v>1411592</v>
      </c>
      <c r="G9" s="22">
        <f t="shared" si="2"/>
        <v>876741</v>
      </c>
      <c r="H9" s="22">
        <f t="shared" si="2"/>
        <v>1233656</v>
      </c>
      <c r="I9" s="22">
        <f t="shared" si="2"/>
        <v>2091560</v>
      </c>
      <c r="J9" s="22">
        <f t="shared" si="2"/>
        <v>2269958</v>
      </c>
      <c r="K9" s="22">
        <f t="shared" si="2"/>
        <v>1442360</v>
      </c>
      <c r="L9" s="22">
        <f t="shared" si="2"/>
        <v>712486</v>
      </c>
      <c r="M9" s="22">
        <f t="shared" si="2"/>
        <v>1195365</v>
      </c>
      <c r="N9" s="22">
        <f t="shared" si="2"/>
        <v>1121617</v>
      </c>
      <c r="O9" s="22">
        <f t="shared" si="2"/>
        <v>1586694</v>
      </c>
      <c r="P9" s="22">
        <f t="shared" si="2"/>
        <v>1722762</v>
      </c>
      <c r="Q9" s="22">
        <f t="shared" si="2"/>
        <v>1713697</v>
      </c>
      <c r="R9" s="22">
        <f t="shared" si="2"/>
        <v>913851</v>
      </c>
      <c r="S9" s="22">
        <f t="shared" si="2"/>
        <v>762389</v>
      </c>
      <c r="T9" s="22">
        <f t="shared" si="2"/>
        <v>1040931</v>
      </c>
      <c r="U9" s="22">
        <f t="shared" si="2"/>
        <v>965975</v>
      </c>
      <c r="V9" s="22">
        <f t="shared" si="2"/>
        <v>1093453</v>
      </c>
      <c r="W9" s="22">
        <f t="shared" si="2"/>
        <v>1534587</v>
      </c>
      <c r="X9" s="22">
        <f t="shared" si="2"/>
        <v>1675925</v>
      </c>
      <c r="Y9" s="22">
        <f t="shared" si="2"/>
        <v>1340785</v>
      </c>
      <c r="Z9" s="22">
        <f t="shared" si="2"/>
        <v>841916</v>
      </c>
      <c r="AA9" s="22">
        <f t="shared" si="2"/>
        <v>974220</v>
      </c>
      <c r="AB9" s="22">
        <f t="shared" si="2"/>
        <v>912228</v>
      </c>
      <c r="AC9" s="22">
        <f t="shared" si="2"/>
        <v>1253045</v>
      </c>
      <c r="AD9" s="22">
        <f t="shared" si="2"/>
        <v>1273045</v>
      </c>
      <c r="AE9" s="22">
        <f t="shared" si="2"/>
        <v>2368180</v>
      </c>
      <c r="AF9" s="22">
        <f t="shared" si="2"/>
        <v>985487</v>
      </c>
      <c r="AG9" s="22">
        <f t="shared" si="2"/>
        <v>549817</v>
      </c>
      <c r="AH9" s="19">
        <f t="shared" si="2"/>
        <v>40820446</v>
      </c>
    </row>
    <row r="10">
      <c r="A10" s="21" t="s">
        <v>8</v>
      </c>
      <c r="B10" s="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9">
        <f>AH9-AH82</f>
        <v>36939460</v>
      </c>
    </row>
    <row r="11">
      <c r="A11" s="7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7"/>
      <c r="AC11" s="10"/>
      <c r="AD11" s="10"/>
      <c r="AE11" s="10"/>
      <c r="AF11" s="10"/>
      <c r="AG11" s="7"/>
      <c r="AH11" s="10"/>
    </row>
    <row r="12">
      <c r="A12" s="23" t="s">
        <v>9</v>
      </c>
      <c r="B12" s="24">
        <f t="shared" ref="B12:B30" si="4">AH12/$AH$10</f>
        <v>0.3338775932</v>
      </c>
      <c r="C12" s="25">
        <f t="shared" ref="C12:AG12" si="3">sum(C13:C30)</f>
        <v>7000</v>
      </c>
      <c r="D12" s="25">
        <f t="shared" si="3"/>
        <v>30300</v>
      </c>
      <c r="E12" s="25">
        <f t="shared" si="3"/>
        <v>1156221</v>
      </c>
      <c r="F12" s="25">
        <f t="shared" si="3"/>
        <v>1240950</v>
      </c>
      <c r="G12" s="25">
        <f t="shared" si="3"/>
        <v>84000</v>
      </c>
      <c r="H12" s="25">
        <f t="shared" si="3"/>
        <v>0</v>
      </c>
      <c r="I12" s="25">
        <f t="shared" si="3"/>
        <v>175212</v>
      </c>
      <c r="J12" s="25">
        <f t="shared" si="3"/>
        <v>15020</v>
      </c>
      <c r="K12" s="25">
        <f t="shared" si="3"/>
        <v>12320</v>
      </c>
      <c r="L12" s="25">
        <f t="shared" si="3"/>
        <v>1663089</v>
      </c>
      <c r="M12" s="25">
        <f t="shared" si="3"/>
        <v>19501</v>
      </c>
      <c r="N12" s="25">
        <f t="shared" si="3"/>
        <v>217267</v>
      </c>
      <c r="O12" s="25">
        <f t="shared" si="3"/>
        <v>408959</v>
      </c>
      <c r="P12" s="25">
        <f t="shared" si="3"/>
        <v>416804</v>
      </c>
      <c r="Q12" s="25">
        <f t="shared" si="3"/>
        <v>22620</v>
      </c>
      <c r="R12" s="25">
        <f t="shared" si="3"/>
        <v>173310</v>
      </c>
      <c r="S12" s="25">
        <f t="shared" si="3"/>
        <v>985138</v>
      </c>
      <c r="T12" s="25">
        <f t="shared" si="3"/>
        <v>735843</v>
      </c>
      <c r="U12" s="25">
        <f t="shared" si="3"/>
        <v>541807</v>
      </c>
      <c r="V12" s="25">
        <f t="shared" si="3"/>
        <v>115198</v>
      </c>
      <c r="W12" s="25">
        <f t="shared" si="3"/>
        <v>23205</v>
      </c>
      <c r="X12" s="25">
        <f t="shared" si="3"/>
        <v>7900</v>
      </c>
      <c r="Y12" s="25">
        <f t="shared" si="3"/>
        <v>53230</v>
      </c>
      <c r="Z12" s="25">
        <f t="shared" si="3"/>
        <v>688210</v>
      </c>
      <c r="AA12" s="25">
        <f t="shared" si="3"/>
        <v>1213895</v>
      </c>
      <c r="AB12" s="25">
        <f t="shared" si="3"/>
        <v>250544</v>
      </c>
      <c r="AC12" s="25">
        <f t="shared" si="3"/>
        <v>352015</v>
      </c>
      <c r="AD12" s="25">
        <f t="shared" si="3"/>
        <v>63975</v>
      </c>
      <c r="AE12" s="25">
        <f t="shared" si="3"/>
        <v>7900</v>
      </c>
      <c r="AF12" s="25">
        <f t="shared" si="3"/>
        <v>42640</v>
      </c>
      <c r="AG12" s="25">
        <f t="shared" si="3"/>
        <v>1609185</v>
      </c>
      <c r="AH12" s="26">
        <f>sum(AH13:AH31)</f>
        <v>12333258</v>
      </c>
    </row>
    <row r="13">
      <c r="A13" s="16" t="s">
        <v>10</v>
      </c>
      <c r="B13" s="27">
        <f t="shared" si="4"/>
        <v>0.05769304695</v>
      </c>
      <c r="C13" s="17">
        <v>0.0</v>
      </c>
      <c r="D13" s="17">
        <f>12800+17500</f>
        <v>30300</v>
      </c>
      <c r="E13" s="17">
        <f>30000+84000+60000</f>
        <v>174000</v>
      </c>
      <c r="F13" s="17">
        <v>0.0</v>
      </c>
      <c r="G13" s="17">
        <v>84000.0</v>
      </c>
      <c r="H13" s="20">
        <v>0.0</v>
      </c>
      <c r="I13" s="20">
        <f>36000+69001+15280</f>
        <v>120281</v>
      </c>
      <c r="J13" s="17">
        <v>15020.0</v>
      </c>
      <c r="K13" s="20">
        <v>0.0</v>
      </c>
      <c r="L13" s="17">
        <v>15420.0</v>
      </c>
      <c r="M13" s="20">
        <v>0.0</v>
      </c>
      <c r="N13" s="17">
        <v>10590.0</v>
      </c>
      <c r="O13" s="17">
        <f>22970+233835+26490</f>
        <v>283295</v>
      </c>
      <c r="P13" s="17">
        <f>15600+6000</f>
        <v>21600</v>
      </c>
      <c r="Q13" s="17">
        <v>12220.0</v>
      </c>
      <c r="R13" s="17">
        <f>84000+7530</f>
        <v>91530</v>
      </c>
      <c r="S13" s="17">
        <v>55770.0</v>
      </c>
      <c r="T13" s="17">
        <f>20841+96250</f>
        <v>117091</v>
      </c>
      <c r="U13" s="17">
        <v>0.0</v>
      </c>
      <c r="V13" s="17">
        <v>86190.0</v>
      </c>
      <c r="W13" s="17">
        <v>0.0</v>
      </c>
      <c r="X13" s="17">
        <v>7900.0</v>
      </c>
      <c r="Y13" s="17">
        <v>0.0</v>
      </c>
      <c r="Z13" s="17">
        <v>238000.0</v>
      </c>
      <c r="AA13" s="17">
        <f>51338+238000</f>
        <v>289338</v>
      </c>
      <c r="AB13" s="17">
        <f>65530+20610</f>
        <v>86140</v>
      </c>
      <c r="AC13" s="17">
        <f>84500+94000+71400</f>
        <v>249900</v>
      </c>
      <c r="AD13" s="17">
        <v>63975.0</v>
      </c>
      <c r="AE13" s="17">
        <v>0.0</v>
      </c>
      <c r="AF13" s="20">
        <f>15800+26840</f>
        <v>42640</v>
      </c>
      <c r="AG13" s="17">
        <v>35950.0</v>
      </c>
      <c r="AH13" s="19">
        <f t="shared" ref="AH13:AH31" si="5">SUM(C13:AG13)</f>
        <v>2131150</v>
      </c>
    </row>
    <row r="14">
      <c r="A14" s="28" t="s">
        <v>12</v>
      </c>
      <c r="B14" s="27">
        <f t="shared" si="4"/>
        <v>0.01177602488</v>
      </c>
      <c r="C14" s="20">
        <v>0.0</v>
      </c>
      <c r="D14" s="20">
        <v>0.0</v>
      </c>
      <c r="E14" s="17">
        <v>87000.0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17">
        <v>116000.0</v>
      </c>
      <c r="M14" s="20">
        <v>0.0</v>
      </c>
      <c r="N14" s="20">
        <v>0.0</v>
      </c>
      <c r="O14" s="20">
        <v>0.0</v>
      </c>
      <c r="P14" s="20">
        <v>0.0</v>
      </c>
      <c r="Q14" s="20">
        <v>0.0</v>
      </c>
      <c r="R14" s="20">
        <v>0.0</v>
      </c>
      <c r="S14" s="20">
        <v>0.0</v>
      </c>
      <c r="T14" s="17">
        <v>116000.0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0">
        <v>0.0</v>
      </c>
      <c r="AB14" s="20">
        <v>0.0</v>
      </c>
      <c r="AC14" s="20">
        <v>0.0</v>
      </c>
      <c r="AD14" s="20">
        <v>0.0</v>
      </c>
      <c r="AE14" s="20">
        <v>0.0</v>
      </c>
      <c r="AF14" s="20">
        <v>0.0</v>
      </c>
      <c r="AG14" s="17">
        <v>116000.0</v>
      </c>
      <c r="AH14" s="19">
        <f t="shared" si="5"/>
        <v>435000</v>
      </c>
    </row>
    <row r="15">
      <c r="A15" s="16" t="s">
        <v>13</v>
      </c>
      <c r="B15" s="27">
        <f t="shared" si="4"/>
        <v>0.07773984785</v>
      </c>
      <c r="C15" s="20">
        <v>0.0</v>
      </c>
      <c r="D15" s="20">
        <v>0.0</v>
      </c>
      <c r="E15" s="20">
        <v>0.0</v>
      </c>
      <c r="F15" s="17">
        <v>757851.0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17">
        <v>448404.0</v>
      </c>
      <c r="M15" s="17">
        <v>0.0</v>
      </c>
      <c r="N15" s="20">
        <v>0.0</v>
      </c>
      <c r="O15" s="20">
        <v>0.0</v>
      </c>
      <c r="P15" s="20">
        <v>0.0</v>
      </c>
      <c r="Q15" s="20">
        <v>0.0</v>
      </c>
      <c r="R15" s="20">
        <v>0.0</v>
      </c>
      <c r="S15" s="20">
        <v>0.0</v>
      </c>
      <c r="T15" s="17">
        <v>350990.0</v>
      </c>
      <c r="U15" s="20">
        <v>0.0</v>
      </c>
      <c r="V15" s="20">
        <v>0.0</v>
      </c>
      <c r="W15" s="20">
        <v>0.0</v>
      </c>
      <c r="X15" s="20">
        <v>0.0</v>
      </c>
      <c r="Y15" s="20">
        <v>0.0</v>
      </c>
      <c r="Z15" s="17">
        <v>0.0</v>
      </c>
      <c r="AA15" s="17">
        <v>834557.0</v>
      </c>
      <c r="AB15" s="20">
        <v>0.0</v>
      </c>
      <c r="AC15" s="20">
        <v>0.0</v>
      </c>
      <c r="AD15" s="20">
        <v>0.0</v>
      </c>
      <c r="AE15" s="20">
        <v>0.0</v>
      </c>
      <c r="AF15" s="20">
        <v>0.0</v>
      </c>
      <c r="AG15" s="17">
        <v>479866.0</v>
      </c>
      <c r="AH15" s="19">
        <f t="shared" si="5"/>
        <v>2871668</v>
      </c>
    </row>
    <row r="16">
      <c r="A16" s="28" t="s">
        <v>14</v>
      </c>
      <c r="B16" s="27">
        <f t="shared" si="4"/>
        <v>0.008337209044</v>
      </c>
      <c r="C16" s="20">
        <v>0.0</v>
      </c>
      <c r="D16" s="20">
        <v>0.0</v>
      </c>
      <c r="E16" s="17">
        <v>153986.0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17">
        <v>153986.0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20">
        <v>0.0</v>
      </c>
      <c r="AG16" s="20">
        <v>0.0</v>
      </c>
      <c r="AH16" s="19">
        <f t="shared" si="5"/>
        <v>307972</v>
      </c>
    </row>
    <row r="17">
      <c r="A17" s="28" t="s">
        <v>15</v>
      </c>
      <c r="B17" s="27">
        <f t="shared" si="4"/>
        <v>0.03730804403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17">
        <v>486115.0</v>
      </c>
      <c r="M17" s="20">
        <v>0.0</v>
      </c>
      <c r="N17" s="20">
        <v>0.0</v>
      </c>
      <c r="O17" s="20">
        <v>0.0</v>
      </c>
      <c r="P17" s="20">
        <v>0.0</v>
      </c>
      <c r="Q17" s="20">
        <v>0.0</v>
      </c>
      <c r="R17" s="20">
        <v>0.0</v>
      </c>
      <c r="S17" s="20">
        <v>0.0</v>
      </c>
      <c r="T17" s="20">
        <v>0.0</v>
      </c>
      <c r="U17" s="17">
        <v>447559.0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0.0</v>
      </c>
      <c r="AD17" s="20">
        <v>0.0</v>
      </c>
      <c r="AE17" s="20">
        <v>0.0</v>
      </c>
      <c r="AF17" s="20">
        <v>0.0</v>
      </c>
      <c r="AG17" s="17">
        <v>444465.0</v>
      </c>
      <c r="AH17" s="19">
        <f t="shared" si="5"/>
        <v>1378139</v>
      </c>
    </row>
    <row r="18">
      <c r="A18" s="30" t="s">
        <v>19</v>
      </c>
      <c r="B18" s="27">
        <f t="shared" si="4"/>
        <v>0.0653818437</v>
      </c>
      <c r="C18" s="20">
        <v>0.0</v>
      </c>
      <c r="D18" s="20">
        <v>0.0</v>
      </c>
      <c r="E18" s="17">
        <v>459220.0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17">
        <v>597150.0</v>
      </c>
      <c r="M18" s="20">
        <v>0.0</v>
      </c>
      <c r="N18" s="20">
        <v>0.0</v>
      </c>
      <c r="O18" s="20">
        <v>0.0</v>
      </c>
      <c r="P18" s="20">
        <v>0.0</v>
      </c>
      <c r="Q18" s="20">
        <v>0.0</v>
      </c>
      <c r="R18" s="20">
        <v>0.0</v>
      </c>
      <c r="S18" s="17">
        <v>524350.0</v>
      </c>
      <c r="T18" s="20">
        <v>0.0</v>
      </c>
      <c r="U18" s="20">
        <v>0.0</v>
      </c>
      <c r="V18" s="20">
        <v>0.0</v>
      </c>
      <c r="W18" s="20">
        <v>0.0</v>
      </c>
      <c r="X18" s="17">
        <v>0.0</v>
      </c>
      <c r="Y18" s="20">
        <v>0.0</v>
      </c>
      <c r="Z18" s="17">
        <v>427210.0</v>
      </c>
      <c r="AA18" s="20">
        <v>0.0</v>
      </c>
      <c r="AB18" s="20">
        <v>0.0</v>
      </c>
      <c r="AC18" s="20">
        <v>0.0</v>
      </c>
      <c r="AD18" s="20">
        <v>0.0</v>
      </c>
      <c r="AE18" s="20">
        <v>0.0</v>
      </c>
      <c r="AF18" s="20">
        <v>0.0</v>
      </c>
      <c r="AG18" s="17">
        <v>407240.0</v>
      </c>
      <c r="AH18" s="19">
        <f t="shared" si="5"/>
        <v>2415170</v>
      </c>
    </row>
    <row r="19">
      <c r="A19" s="16" t="s">
        <v>21</v>
      </c>
      <c r="B19" s="27">
        <f t="shared" si="4"/>
        <v>0.01056932072</v>
      </c>
      <c r="C19" s="20">
        <v>0.0</v>
      </c>
      <c r="D19" s="20">
        <v>0.0</v>
      </c>
      <c r="E19" s="17">
        <v>136850.0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20">
        <v>0.0</v>
      </c>
      <c r="O19" s="20">
        <v>0.0</v>
      </c>
      <c r="P19" s="20">
        <v>0.0</v>
      </c>
      <c r="Q19" s="20">
        <v>0.0</v>
      </c>
      <c r="R19" s="20">
        <v>0.0</v>
      </c>
      <c r="S19" s="17">
        <v>169575.0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17">
        <v>84000.0</v>
      </c>
      <c r="AB19" s="20">
        <v>0.0</v>
      </c>
      <c r="AC19" s="20">
        <v>0.0</v>
      </c>
      <c r="AD19" s="20">
        <v>0.0</v>
      </c>
      <c r="AE19" s="20">
        <v>0.0</v>
      </c>
      <c r="AF19" s="20">
        <v>0.0</v>
      </c>
      <c r="AG19" s="20">
        <v>0.0</v>
      </c>
      <c r="AH19" s="19">
        <f t="shared" si="5"/>
        <v>390425</v>
      </c>
    </row>
    <row r="20">
      <c r="A20" s="16" t="s">
        <v>20</v>
      </c>
      <c r="B20" s="27">
        <f t="shared" si="4"/>
        <v>0.006165276915</v>
      </c>
      <c r="C20" s="20">
        <v>0.0</v>
      </c>
      <c r="D20" s="20">
        <v>0.0</v>
      </c>
      <c r="E20" s="20">
        <v>0.0</v>
      </c>
      <c r="F20" s="17">
        <v>227742.0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20">
        <v>0.0</v>
      </c>
      <c r="T20" s="20">
        <v>0.0</v>
      </c>
      <c r="U20" s="20">
        <v>0.0</v>
      </c>
      <c r="V20" s="20">
        <v>0.0</v>
      </c>
      <c r="W20" s="20">
        <v>0.0</v>
      </c>
      <c r="X20" s="20">
        <v>0.0</v>
      </c>
      <c r="Y20" s="20">
        <v>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20">
        <v>0.0</v>
      </c>
      <c r="AF20" s="20">
        <v>0.0</v>
      </c>
      <c r="AG20" s="20">
        <v>0.0</v>
      </c>
      <c r="AH20" s="19">
        <f t="shared" si="5"/>
        <v>227742</v>
      </c>
    </row>
    <row r="21">
      <c r="A21" s="16" t="s">
        <v>22</v>
      </c>
      <c r="B21" s="27">
        <f t="shared" si="4"/>
        <v>0</v>
      </c>
      <c r="C21" s="20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0.0</v>
      </c>
      <c r="V21" s="20">
        <v>0.0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  <c r="AH21" s="19">
        <f t="shared" si="5"/>
        <v>0</v>
      </c>
    </row>
    <row r="22">
      <c r="A22" s="16" t="s">
        <v>23</v>
      </c>
      <c r="B22" s="27">
        <f t="shared" si="4"/>
        <v>0.00365316656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20">
        <v>0.0</v>
      </c>
      <c r="Q22" s="20">
        <v>0.0</v>
      </c>
      <c r="R22" s="20">
        <v>0.0</v>
      </c>
      <c r="S22" s="17">
        <v>134946.0</v>
      </c>
      <c r="T22" s="20">
        <v>0.0</v>
      </c>
      <c r="U22" s="20">
        <v>0.0</v>
      </c>
      <c r="V22" s="20">
        <v>0.0</v>
      </c>
      <c r="W22" s="20">
        <v>0.0</v>
      </c>
      <c r="X22" s="20">
        <v>0.0</v>
      </c>
      <c r="Y22" s="20">
        <v>0.0</v>
      </c>
      <c r="Z22" s="20">
        <v>0.0</v>
      </c>
      <c r="AA22" s="20">
        <v>0.0</v>
      </c>
      <c r="AB22" s="20">
        <v>0.0</v>
      </c>
      <c r="AC22" s="20">
        <v>0.0</v>
      </c>
      <c r="AD22" s="20">
        <v>0.0</v>
      </c>
      <c r="AE22" s="20">
        <v>0.0</v>
      </c>
      <c r="AF22" s="20">
        <v>0.0</v>
      </c>
      <c r="AG22" s="20">
        <v>0.0</v>
      </c>
      <c r="AH22" s="19">
        <f t="shared" si="5"/>
        <v>134946</v>
      </c>
    </row>
    <row r="23">
      <c r="A23" s="16" t="s">
        <v>24</v>
      </c>
      <c r="B23" s="27">
        <f t="shared" si="4"/>
        <v>0.004966477583</v>
      </c>
      <c r="C23" s="20">
        <v>0.0</v>
      </c>
      <c r="D23" s="20">
        <v>0.0</v>
      </c>
      <c r="E23" s="17">
        <f>19501</f>
        <v>19501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0.0</v>
      </c>
      <c r="L23" s="20">
        <v>0.0</v>
      </c>
      <c r="M23" s="17">
        <v>19501.0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17">
        <v>75047.0</v>
      </c>
      <c r="U23" s="20">
        <v>0.0</v>
      </c>
      <c r="V23" s="20">
        <v>0.0</v>
      </c>
      <c r="W23" s="17">
        <v>23205.0</v>
      </c>
      <c r="X23" s="20">
        <v>0.0</v>
      </c>
      <c r="Y23" s="20">
        <v>0.0</v>
      </c>
      <c r="Z23" s="17">
        <v>23000.0</v>
      </c>
      <c r="AA23" s="20">
        <v>0.0</v>
      </c>
      <c r="AB23" s="20">
        <v>0.0</v>
      </c>
      <c r="AC23" s="17">
        <v>23205.0</v>
      </c>
      <c r="AD23" s="20">
        <v>0.0</v>
      </c>
      <c r="AE23" s="20">
        <v>0.0</v>
      </c>
      <c r="AF23" s="20">
        <v>0.0</v>
      </c>
      <c r="AG23" s="20">
        <v>0.0</v>
      </c>
      <c r="AH23" s="19">
        <f t="shared" si="5"/>
        <v>183459</v>
      </c>
    </row>
    <row r="24">
      <c r="A24" s="16" t="s">
        <v>25</v>
      </c>
      <c r="B24" s="27">
        <f t="shared" si="4"/>
        <v>0.01275708957</v>
      </c>
      <c r="C24" s="20">
        <v>0.0</v>
      </c>
      <c r="D24" s="20">
        <v>0.0</v>
      </c>
      <c r="E24" s="17">
        <v>125664.0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v>0.0</v>
      </c>
      <c r="O24" s="17">
        <v>125664.0</v>
      </c>
      <c r="P24" s="20">
        <v>0.0</v>
      </c>
      <c r="Q24" s="20">
        <v>0.0</v>
      </c>
      <c r="R24" s="20">
        <v>0.0</v>
      </c>
      <c r="S24" s="20">
        <v>0.0</v>
      </c>
      <c r="T24" s="20">
        <v>0.0</v>
      </c>
      <c r="U24" s="17">
        <v>94248.0</v>
      </c>
      <c r="V24" s="20">
        <v>0.0</v>
      </c>
      <c r="W24" s="20">
        <v>0.0</v>
      </c>
      <c r="X24" s="20">
        <v>0.0</v>
      </c>
      <c r="Y24" s="20">
        <v>0.0</v>
      </c>
      <c r="Z24" s="20">
        <v>0.0</v>
      </c>
      <c r="AA24" s="20">
        <v>0.0</v>
      </c>
      <c r="AB24" s="20">
        <v>0.0</v>
      </c>
      <c r="AC24" s="20">
        <v>0.0</v>
      </c>
      <c r="AD24" s="20">
        <v>0.0</v>
      </c>
      <c r="AE24" s="20">
        <v>0.0</v>
      </c>
      <c r="AF24" s="20">
        <v>0.0</v>
      </c>
      <c r="AG24" s="17">
        <v>125664.0</v>
      </c>
      <c r="AH24" s="19">
        <f t="shared" si="5"/>
        <v>471240</v>
      </c>
    </row>
    <row r="25">
      <c r="A25" s="16" t="s">
        <v>26</v>
      </c>
      <c r="B25" s="27">
        <f t="shared" si="4"/>
        <v>0.006528195052</v>
      </c>
      <c r="C25" s="17">
        <v>7000.0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17">
        <v>54931.0</v>
      </c>
      <c r="J25" s="20">
        <v>0.0</v>
      </c>
      <c r="K25" s="17">
        <v>12320.0</v>
      </c>
      <c r="L25" s="20">
        <v>0.0</v>
      </c>
      <c r="M25" s="20">
        <v>0.0</v>
      </c>
      <c r="N25" s="17">
        <v>46509.0</v>
      </c>
      <c r="O25" s="20">
        <v>0.0</v>
      </c>
      <c r="P25" s="20">
        <v>0.0</v>
      </c>
      <c r="Q25" s="17">
        <v>10400.0</v>
      </c>
      <c r="R25" s="17">
        <v>6780.0</v>
      </c>
      <c r="S25" s="20">
        <v>0.0</v>
      </c>
      <c r="T25" s="20">
        <v>0.0</v>
      </c>
      <c r="U25" s="20">
        <v>0.0</v>
      </c>
      <c r="V25" s="17">
        <v>29008.0</v>
      </c>
      <c r="W25" s="20">
        <v>0.0</v>
      </c>
      <c r="X25" s="20">
        <v>0.0</v>
      </c>
      <c r="Y25" s="20">
        <v>0.0</v>
      </c>
      <c r="Z25" s="20">
        <v>0.0</v>
      </c>
      <c r="AA25" s="20">
        <v>0.0</v>
      </c>
      <c r="AB25" s="17">
        <v>9490.0</v>
      </c>
      <c r="AC25" s="17">
        <v>56810.0</v>
      </c>
      <c r="AD25" s="20">
        <v>0.0</v>
      </c>
      <c r="AE25" s="17">
        <v>7900.0</v>
      </c>
      <c r="AF25" s="20">
        <v>0.0</v>
      </c>
      <c r="AG25" s="20">
        <v>0.0</v>
      </c>
      <c r="AH25" s="19">
        <f t="shared" si="5"/>
        <v>241148</v>
      </c>
    </row>
    <row r="26">
      <c r="A26" s="16" t="s">
        <v>27</v>
      </c>
      <c r="B26" s="27">
        <f t="shared" si="4"/>
        <v>0.01330931746</v>
      </c>
      <c r="C26" s="20">
        <v>0.0</v>
      </c>
      <c r="D26" s="20">
        <v>0.0</v>
      </c>
      <c r="E26" s="20">
        <v>0.0</v>
      </c>
      <c r="F26" s="17">
        <v>137957.0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17">
        <v>160168.0</v>
      </c>
      <c r="O26" s="20">
        <v>0.0</v>
      </c>
      <c r="P26" s="20">
        <v>0.0</v>
      </c>
      <c r="Q26" s="20">
        <v>0.0</v>
      </c>
      <c r="R26" s="20">
        <v>0.0</v>
      </c>
      <c r="S26" s="17">
        <v>10500.0</v>
      </c>
      <c r="T26" s="20">
        <v>0.0</v>
      </c>
      <c r="U26" s="20">
        <v>0.0</v>
      </c>
      <c r="V26" s="20">
        <v>0.0</v>
      </c>
      <c r="W26" s="20">
        <v>0.0</v>
      </c>
      <c r="X26" s="20">
        <v>0.0</v>
      </c>
      <c r="Y26" s="20">
        <v>0.0</v>
      </c>
      <c r="Z26" s="20">
        <v>0.0</v>
      </c>
      <c r="AA26" s="17">
        <v>6000.0</v>
      </c>
      <c r="AB26" s="17">
        <v>154914.0</v>
      </c>
      <c r="AC26" s="17">
        <v>22100.0</v>
      </c>
      <c r="AD26" s="20">
        <v>0.0</v>
      </c>
      <c r="AE26" s="20">
        <v>0.0</v>
      </c>
      <c r="AF26" s="20">
        <v>0.0</v>
      </c>
      <c r="AG26" s="20">
        <v>0.0</v>
      </c>
      <c r="AH26" s="19">
        <f t="shared" si="5"/>
        <v>491639</v>
      </c>
    </row>
    <row r="27">
      <c r="A27" s="16" t="s">
        <v>28</v>
      </c>
      <c r="B27" s="27">
        <f t="shared" si="4"/>
        <v>0.002436337727</v>
      </c>
      <c r="C27" s="20">
        <v>0.0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M27" s="20">
        <v>0.0</v>
      </c>
      <c r="N27" s="20">
        <v>0.0</v>
      </c>
      <c r="O27" s="20">
        <v>0.0</v>
      </c>
      <c r="P27" s="20">
        <v>0.0</v>
      </c>
      <c r="Q27" s="20">
        <v>0.0</v>
      </c>
      <c r="R27" s="20">
        <v>0.0</v>
      </c>
      <c r="S27" s="17">
        <v>89997.0</v>
      </c>
      <c r="T27" s="20">
        <v>0.0</v>
      </c>
      <c r="U27" s="20">
        <v>0.0</v>
      </c>
      <c r="V27" s="20">
        <v>0.0</v>
      </c>
      <c r="W27" s="20">
        <v>0.0</v>
      </c>
      <c r="X27" s="20">
        <v>0.0</v>
      </c>
      <c r="Y27" s="20">
        <v>0.0</v>
      </c>
      <c r="Z27" s="20">
        <v>0.0</v>
      </c>
      <c r="AA27" s="20">
        <v>0.0</v>
      </c>
      <c r="AB27" s="20">
        <v>0.0</v>
      </c>
      <c r="AC27" s="20">
        <v>0.0</v>
      </c>
      <c r="AD27" s="20">
        <v>0.0</v>
      </c>
      <c r="AE27" s="20">
        <v>0.0</v>
      </c>
      <c r="AF27" s="20">
        <v>0.0</v>
      </c>
      <c r="AG27" s="20">
        <v>0.0</v>
      </c>
      <c r="AH27" s="19">
        <f t="shared" si="5"/>
        <v>89997</v>
      </c>
    </row>
    <row r="28">
      <c r="A28" s="16" t="s">
        <v>29</v>
      </c>
      <c r="B28" s="27">
        <f t="shared" si="4"/>
        <v>0</v>
      </c>
      <c r="C28" s="20">
        <v>0.0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0.0</v>
      </c>
      <c r="R28" s="20">
        <v>0.0</v>
      </c>
      <c r="S28" s="20">
        <v>0.0</v>
      </c>
      <c r="T28" s="20">
        <v>0.0</v>
      </c>
      <c r="U28" s="20">
        <v>0.0</v>
      </c>
      <c r="V28" s="20">
        <v>0.0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0.0</v>
      </c>
      <c r="AC28" s="20">
        <v>0.0</v>
      </c>
      <c r="AD28" s="20">
        <v>0.0</v>
      </c>
      <c r="AE28" s="20">
        <v>0.0</v>
      </c>
      <c r="AF28" s="20">
        <v>0.0</v>
      </c>
      <c r="AG28" s="20">
        <v>0.0</v>
      </c>
      <c r="AH28" s="19">
        <f t="shared" si="5"/>
        <v>0</v>
      </c>
    </row>
    <row r="29">
      <c r="A29" s="16" t="s">
        <v>30</v>
      </c>
      <c r="B29" s="27">
        <f t="shared" si="4"/>
        <v>0.001441006447</v>
      </c>
      <c r="C29" s="20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0.0</v>
      </c>
      <c r="T29" s="20">
        <v>0.0</v>
      </c>
      <c r="U29" s="20">
        <v>0.0</v>
      </c>
      <c r="V29" s="20">
        <v>0.0</v>
      </c>
      <c r="W29" s="20">
        <v>0.0</v>
      </c>
      <c r="X29" s="20">
        <v>0.0</v>
      </c>
      <c r="Y29" s="17">
        <v>53230.0</v>
      </c>
      <c r="Z29" s="20">
        <v>0.0</v>
      </c>
      <c r="AA29" s="20">
        <v>0.0</v>
      </c>
      <c r="AB29" s="20">
        <v>0.0</v>
      </c>
      <c r="AC29" s="20">
        <v>0.0</v>
      </c>
      <c r="AD29" s="20">
        <v>0.0</v>
      </c>
      <c r="AE29" s="20">
        <v>0.0</v>
      </c>
      <c r="AF29" s="20">
        <v>0.0</v>
      </c>
      <c r="AG29" s="20">
        <v>0.0</v>
      </c>
      <c r="AH29" s="19">
        <f t="shared" si="5"/>
        <v>53230</v>
      </c>
    </row>
    <row r="30">
      <c r="A30" s="16" t="s">
        <v>31</v>
      </c>
      <c r="B30" s="27">
        <f t="shared" si="4"/>
        <v>0.01381538875</v>
      </c>
      <c r="C30" s="20">
        <v>0.0</v>
      </c>
      <c r="D30" s="20">
        <v>0.0</v>
      </c>
      <c r="E30" s="20">
        <v>0.0</v>
      </c>
      <c r="F30" s="17">
        <v>117400.0</v>
      </c>
      <c r="G30" s="20">
        <v>0.0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17">
        <v>241218.0</v>
      </c>
      <c r="Q30" s="20">
        <v>0.0</v>
      </c>
      <c r="R30" s="17">
        <v>75000.0</v>
      </c>
      <c r="S30" s="20">
        <v>0.0</v>
      </c>
      <c r="T30" s="17">
        <v>76715.0</v>
      </c>
      <c r="U30" s="20">
        <v>0.0</v>
      </c>
      <c r="V30" s="20">
        <v>0.0</v>
      </c>
      <c r="W30" s="20">
        <v>0.0</v>
      </c>
      <c r="X30" s="20">
        <v>0.0</v>
      </c>
      <c r="Y30" s="20">
        <v>0.0</v>
      </c>
      <c r="Z30" s="20">
        <v>0.0</v>
      </c>
      <c r="AA30" s="20">
        <v>0.0</v>
      </c>
      <c r="AB30" s="20">
        <v>0.0</v>
      </c>
      <c r="AC30" s="20">
        <v>0.0</v>
      </c>
      <c r="AD30" s="20">
        <v>0.0</v>
      </c>
      <c r="AE30" s="20">
        <v>0.0</v>
      </c>
      <c r="AF30" s="20">
        <v>0.0</v>
      </c>
      <c r="AG30" s="20">
        <v>0.0</v>
      </c>
      <c r="AH30" s="19">
        <f t="shared" si="5"/>
        <v>510333</v>
      </c>
    </row>
    <row r="31">
      <c r="A31" s="7"/>
      <c r="B31" s="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7"/>
      <c r="AH31" s="19">
        <f t="shared" si="5"/>
        <v>0</v>
      </c>
    </row>
    <row r="32">
      <c r="A32" s="31" t="s">
        <v>32</v>
      </c>
      <c r="B32" s="32">
        <f t="shared" ref="B32:B61" si="7">AH32/$AH$10</f>
        <v>0.207712809</v>
      </c>
      <c r="C32" s="33">
        <f t="shared" ref="C32:AH32" si="6">sum(C33+C53+C63)</f>
        <v>0</v>
      </c>
      <c r="D32" s="33">
        <f t="shared" si="6"/>
        <v>0</v>
      </c>
      <c r="E32" s="33">
        <f t="shared" si="6"/>
        <v>58245</v>
      </c>
      <c r="F32" s="33">
        <f t="shared" si="6"/>
        <v>223822</v>
      </c>
      <c r="G32" s="33">
        <f t="shared" si="6"/>
        <v>9401</v>
      </c>
      <c r="H32" s="33">
        <f t="shared" si="6"/>
        <v>1864570</v>
      </c>
      <c r="I32" s="33">
        <f t="shared" si="6"/>
        <v>108969</v>
      </c>
      <c r="J32" s="33">
        <f t="shared" si="6"/>
        <v>0</v>
      </c>
      <c r="K32" s="33">
        <f t="shared" si="6"/>
        <v>0</v>
      </c>
      <c r="L32" s="33">
        <f t="shared" si="6"/>
        <v>0</v>
      </c>
      <c r="M32" s="33">
        <f t="shared" si="6"/>
        <v>19750</v>
      </c>
      <c r="N32" s="33">
        <f t="shared" si="6"/>
        <v>2871232</v>
      </c>
      <c r="O32" s="33">
        <f t="shared" si="6"/>
        <v>0</v>
      </c>
      <c r="P32" s="33">
        <f t="shared" si="6"/>
        <v>0</v>
      </c>
      <c r="Q32" s="33">
        <f t="shared" si="6"/>
        <v>0</v>
      </c>
      <c r="R32" s="33">
        <f t="shared" si="6"/>
        <v>0</v>
      </c>
      <c r="S32" s="33">
        <f t="shared" si="6"/>
        <v>758854</v>
      </c>
      <c r="T32" s="33">
        <f t="shared" si="6"/>
        <v>0</v>
      </c>
      <c r="U32" s="33">
        <f t="shared" si="6"/>
        <v>6000</v>
      </c>
      <c r="V32" s="33">
        <f t="shared" si="6"/>
        <v>0</v>
      </c>
      <c r="W32" s="33">
        <f t="shared" si="6"/>
        <v>27900</v>
      </c>
      <c r="X32" s="33">
        <f t="shared" si="6"/>
        <v>0</v>
      </c>
      <c r="Y32" s="33">
        <f t="shared" si="6"/>
        <v>215000</v>
      </c>
      <c r="Z32" s="33">
        <f t="shared" si="6"/>
        <v>218094</v>
      </c>
      <c r="AA32" s="33">
        <f t="shared" si="6"/>
        <v>47600</v>
      </c>
      <c r="AB32" s="33">
        <f t="shared" si="6"/>
        <v>0</v>
      </c>
      <c r="AC32" s="33">
        <f t="shared" si="6"/>
        <v>124366</v>
      </c>
      <c r="AD32" s="33">
        <f t="shared" si="6"/>
        <v>350000</v>
      </c>
      <c r="AE32" s="33">
        <f t="shared" si="6"/>
        <v>0</v>
      </c>
      <c r="AF32" s="33">
        <f t="shared" si="6"/>
        <v>0</v>
      </c>
      <c r="AG32" s="33">
        <f t="shared" si="6"/>
        <v>768996</v>
      </c>
      <c r="AH32" s="34">
        <f t="shared" si="6"/>
        <v>7672799</v>
      </c>
    </row>
    <row r="33">
      <c r="A33" s="35" t="s">
        <v>33</v>
      </c>
      <c r="B33" s="36">
        <f t="shared" si="7"/>
        <v>0.1749318209</v>
      </c>
      <c r="C33" s="37">
        <f t="shared" ref="C33:AH33" si="8">sum(C34:C52)</f>
        <v>0</v>
      </c>
      <c r="D33" s="37">
        <f t="shared" si="8"/>
        <v>0</v>
      </c>
      <c r="E33" s="37">
        <f t="shared" si="8"/>
        <v>0</v>
      </c>
      <c r="F33" s="37">
        <f t="shared" si="8"/>
        <v>223822</v>
      </c>
      <c r="G33" s="37">
        <f t="shared" si="8"/>
        <v>0</v>
      </c>
      <c r="H33" s="37">
        <f t="shared" si="8"/>
        <v>1860620</v>
      </c>
      <c r="I33" s="37">
        <f t="shared" si="8"/>
        <v>0</v>
      </c>
      <c r="J33" s="37">
        <f t="shared" si="8"/>
        <v>0</v>
      </c>
      <c r="K33" s="37">
        <f t="shared" si="8"/>
        <v>0</v>
      </c>
      <c r="L33" s="37">
        <f t="shared" si="8"/>
        <v>0</v>
      </c>
      <c r="M33" s="37">
        <f t="shared" si="8"/>
        <v>0</v>
      </c>
      <c r="N33" s="37">
        <f t="shared" si="8"/>
        <v>2871232</v>
      </c>
      <c r="O33" s="37">
        <f t="shared" si="8"/>
        <v>0</v>
      </c>
      <c r="P33" s="37">
        <f t="shared" si="8"/>
        <v>0</v>
      </c>
      <c r="Q33" s="37">
        <f t="shared" si="8"/>
        <v>0</v>
      </c>
      <c r="R33" s="37">
        <f t="shared" si="8"/>
        <v>0</v>
      </c>
      <c r="S33" s="37">
        <f t="shared" si="8"/>
        <v>758854</v>
      </c>
      <c r="T33" s="37">
        <f t="shared" si="8"/>
        <v>0</v>
      </c>
      <c r="U33" s="37">
        <f t="shared" si="8"/>
        <v>0</v>
      </c>
      <c r="V33" s="37">
        <f t="shared" si="8"/>
        <v>0</v>
      </c>
      <c r="W33" s="37">
        <f t="shared" si="8"/>
        <v>0</v>
      </c>
      <c r="X33" s="37">
        <f t="shared" si="8"/>
        <v>0</v>
      </c>
      <c r="Y33" s="37">
        <f t="shared" si="8"/>
        <v>215000</v>
      </c>
      <c r="Z33" s="37">
        <f t="shared" si="8"/>
        <v>0</v>
      </c>
      <c r="AA33" s="37">
        <f t="shared" si="8"/>
        <v>0</v>
      </c>
      <c r="AB33" s="37">
        <f t="shared" si="8"/>
        <v>0</v>
      </c>
      <c r="AC33" s="37">
        <f t="shared" si="8"/>
        <v>13363</v>
      </c>
      <c r="AD33" s="37">
        <f t="shared" si="8"/>
        <v>350000</v>
      </c>
      <c r="AE33" s="37">
        <f t="shared" si="8"/>
        <v>0</v>
      </c>
      <c r="AF33" s="37">
        <f t="shared" si="8"/>
        <v>0</v>
      </c>
      <c r="AG33" s="37">
        <f t="shared" si="8"/>
        <v>168996</v>
      </c>
      <c r="AH33" s="38">
        <f t="shared" si="8"/>
        <v>6461887</v>
      </c>
    </row>
    <row r="34">
      <c r="A34" s="16" t="s">
        <v>34</v>
      </c>
      <c r="B34" s="27">
        <f t="shared" si="7"/>
        <v>0.005615756159</v>
      </c>
      <c r="C34" s="20">
        <v>0.0</v>
      </c>
      <c r="D34" s="20">
        <v>0.0</v>
      </c>
      <c r="E34" s="20">
        <v>0.0</v>
      </c>
      <c r="F34" s="20">
        <v>0.0</v>
      </c>
      <c r="G34" s="20">
        <v>0.0</v>
      </c>
      <c r="H34" s="20">
        <v>0.0</v>
      </c>
      <c r="I34" s="20">
        <v>0.0</v>
      </c>
      <c r="J34" s="20">
        <v>0.0</v>
      </c>
      <c r="K34" s="20">
        <v>0.0</v>
      </c>
      <c r="L34" s="20">
        <v>0.0</v>
      </c>
      <c r="M34" s="20">
        <v>0.0</v>
      </c>
      <c r="N34" s="20">
        <v>0.0</v>
      </c>
      <c r="O34" s="20">
        <v>0.0</v>
      </c>
      <c r="P34" s="20">
        <v>0.0</v>
      </c>
      <c r="Q34" s="20">
        <v>0.0</v>
      </c>
      <c r="R34" s="20">
        <v>0.0</v>
      </c>
      <c r="S34" s="17">
        <v>194080.0</v>
      </c>
      <c r="T34" s="20">
        <v>0.0</v>
      </c>
      <c r="U34" s="20">
        <v>0.0</v>
      </c>
      <c r="V34" s="20">
        <v>0.0</v>
      </c>
      <c r="W34" s="20">
        <v>0.0</v>
      </c>
      <c r="X34" s="20">
        <v>0.0</v>
      </c>
      <c r="Y34" s="20">
        <v>0.0</v>
      </c>
      <c r="Z34" s="20">
        <v>0.0</v>
      </c>
      <c r="AA34" s="20">
        <v>0.0</v>
      </c>
      <c r="AB34" s="20">
        <v>0.0</v>
      </c>
      <c r="AC34" s="17">
        <v>13363.0</v>
      </c>
      <c r="AD34" s="20">
        <v>0.0</v>
      </c>
      <c r="AE34" s="20">
        <v>0.0</v>
      </c>
      <c r="AF34" s="20">
        <v>0.0</v>
      </c>
      <c r="AG34" s="20">
        <v>0.0</v>
      </c>
      <c r="AH34" s="19">
        <f t="shared" ref="AH34:AH52" si="9">SUM(C34:AG34)</f>
        <v>207443</v>
      </c>
    </row>
    <row r="35">
      <c r="A35" s="16" t="s">
        <v>35</v>
      </c>
      <c r="B35" s="27">
        <f t="shared" si="7"/>
        <v>0.002995171018</v>
      </c>
      <c r="C35" s="20">
        <v>0.0</v>
      </c>
      <c r="D35" s="20">
        <v>0.0</v>
      </c>
      <c r="E35" s="20">
        <v>0.0</v>
      </c>
      <c r="F35" s="20">
        <v>0.0</v>
      </c>
      <c r="G35" s="20">
        <v>0.0</v>
      </c>
      <c r="H35" s="20">
        <v>0.0</v>
      </c>
      <c r="I35" s="20">
        <v>0.0</v>
      </c>
      <c r="J35" s="20">
        <v>0.0</v>
      </c>
      <c r="K35" s="20">
        <v>0.0</v>
      </c>
      <c r="L35" s="20">
        <v>0.0</v>
      </c>
      <c r="M35" s="20">
        <v>0.0</v>
      </c>
      <c r="N35" s="20">
        <v>0.0</v>
      </c>
      <c r="O35" s="20">
        <v>0.0</v>
      </c>
      <c r="P35" s="20">
        <v>0.0</v>
      </c>
      <c r="Q35" s="20">
        <v>0.0</v>
      </c>
      <c r="R35" s="20">
        <v>0.0</v>
      </c>
      <c r="S35" s="17">
        <v>110640.0</v>
      </c>
      <c r="T35" s="20">
        <v>0.0</v>
      </c>
      <c r="U35" s="20">
        <v>0.0</v>
      </c>
      <c r="V35" s="20">
        <v>0.0</v>
      </c>
      <c r="W35" s="20">
        <v>0.0</v>
      </c>
      <c r="X35" s="20">
        <v>0.0</v>
      </c>
      <c r="Y35" s="20">
        <v>0.0</v>
      </c>
      <c r="Z35" s="20">
        <v>0.0</v>
      </c>
      <c r="AA35" s="20">
        <v>0.0</v>
      </c>
      <c r="AB35" s="20">
        <v>0.0</v>
      </c>
      <c r="AC35" s="20">
        <v>0.0</v>
      </c>
      <c r="AD35" s="20">
        <v>0.0</v>
      </c>
      <c r="AE35" s="20">
        <v>0.0</v>
      </c>
      <c r="AF35" s="20">
        <v>0.0</v>
      </c>
      <c r="AG35" s="20">
        <v>0.0</v>
      </c>
      <c r="AH35" s="19">
        <f t="shared" si="9"/>
        <v>110640</v>
      </c>
    </row>
    <row r="36">
      <c r="A36" s="16" t="s">
        <v>36</v>
      </c>
      <c r="B36" s="27">
        <f t="shared" si="7"/>
        <v>0.01067941979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20">
        <v>0.0</v>
      </c>
      <c r="R36" s="20">
        <v>0.0</v>
      </c>
      <c r="S36" s="17">
        <v>394492.0</v>
      </c>
      <c r="T36" s="20">
        <v>0.0</v>
      </c>
      <c r="U36" s="20">
        <v>0.0</v>
      </c>
      <c r="V36" s="20">
        <v>0.0</v>
      </c>
      <c r="W36" s="20">
        <v>0.0</v>
      </c>
      <c r="X36" s="20">
        <v>0.0</v>
      </c>
      <c r="Y36" s="20">
        <v>0.0</v>
      </c>
      <c r="Z36" s="20">
        <v>0.0</v>
      </c>
      <c r="AA36" s="20">
        <v>0.0</v>
      </c>
      <c r="AB36" s="20">
        <v>0.0</v>
      </c>
      <c r="AC36" s="20">
        <v>0.0</v>
      </c>
      <c r="AD36" s="20">
        <v>0.0</v>
      </c>
      <c r="AE36" s="20">
        <v>0.0</v>
      </c>
      <c r="AF36" s="20">
        <v>0.0</v>
      </c>
      <c r="AG36" s="20">
        <v>0.0</v>
      </c>
      <c r="AH36" s="19">
        <f t="shared" si="9"/>
        <v>394492</v>
      </c>
    </row>
    <row r="37">
      <c r="A37" s="16" t="s">
        <v>37</v>
      </c>
      <c r="B37" s="27">
        <f t="shared" si="7"/>
        <v>0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20">
        <v>0.0</v>
      </c>
      <c r="T37" s="20">
        <v>0.0</v>
      </c>
      <c r="U37" s="20">
        <v>0.0</v>
      </c>
      <c r="V37" s="20">
        <v>0.0</v>
      </c>
      <c r="W37" s="20">
        <v>0.0</v>
      </c>
      <c r="X37" s="20">
        <v>0.0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20">
        <v>0.0</v>
      </c>
      <c r="AF37" s="20">
        <v>0.0</v>
      </c>
      <c r="AG37" s="20">
        <v>0.0</v>
      </c>
      <c r="AH37" s="19">
        <f t="shared" si="9"/>
        <v>0</v>
      </c>
    </row>
    <row r="38">
      <c r="A38" s="16" t="s">
        <v>38</v>
      </c>
      <c r="B38" s="27">
        <f t="shared" si="7"/>
        <v>0.006059157335</v>
      </c>
      <c r="C38" s="20">
        <v>0.0</v>
      </c>
      <c r="D38" s="20">
        <v>0.0</v>
      </c>
      <c r="E38" s="20">
        <v>0.0</v>
      </c>
      <c r="F38" s="20">
        <f>87812+136010</f>
        <v>223822</v>
      </c>
      <c r="G38" s="20">
        <v>0.0</v>
      </c>
      <c r="H38" s="20">
        <v>0.0</v>
      </c>
      <c r="I38" s="20">
        <v>0.0</v>
      </c>
      <c r="J38" s="20">
        <v>0.0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0.0</v>
      </c>
      <c r="R38" s="20">
        <v>0.0</v>
      </c>
      <c r="S38" s="20">
        <v>0.0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0.0</v>
      </c>
      <c r="Z38" s="20">
        <v>0.0</v>
      </c>
      <c r="AA38" s="20">
        <v>0.0</v>
      </c>
      <c r="AB38" s="20">
        <v>0.0</v>
      </c>
      <c r="AC38" s="20">
        <v>0.0</v>
      </c>
      <c r="AD38" s="20">
        <v>0.0</v>
      </c>
      <c r="AE38" s="20">
        <v>0.0</v>
      </c>
      <c r="AF38" s="20">
        <v>0.0</v>
      </c>
      <c r="AG38" s="20">
        <v>0.0</v>
      </c>
      <c r="AH38" s="19">
        <f t="shared" si="9"/>
        <v>223822</v>
      </c>
    </row>
    <row r="39">
      <c r="A39" s="16" t="s">
        <v>39</v>
      </c>
      <c r="B39" s="27">
        <f t="shared" si="7"/>
        <v>0.001294848382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v>0.0</v>
      </c>
      <c r="I39" s="20">
        <v>0.0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17">
        <v>47831.0</v>
      </c>
      <c r="T39" s="20">
        <v>0.0</v>
      </c>
      <c r="U39" s="20">
        <v>0.0</v>
      </c>
      <c r="V39" s="20">
        <v>0.0</v>
      </c>
      <c r="W39" s="20">
        <v>0.0</v>
      </c>
      <c r="X39" s="20">
        <v>0.0</v>
      </c>
      <c r="Y39" s="20">
        <v>0.0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>
        <v>0.0</v>
      </c>
      <c r="AH39" s="19">
        <f t="shared" si="9"/>
        <v>47831</v>
      </c>
    </row>
    <row r="40">
      <c r="A40" s="16" t="s">
        <v>40</v>
      </c>
      <c r="B40" s="27">
        <f t="shared" si="7"/>
        <v>0.000319739379</v>
      </c>
      <c r="C40" s="20">
        <v>0.0</v>
      </c>
      <c r="D40" s="20">
        <v>0.0</v>
      </c>
      <c r="E40" s="20">
        <v>0.0</v>
      </c>
      <c r="F40" s="20">
        <v>0.0</v>
      </c>
      <c r="G40" s="20">
        <v>0.0</v>
      </c>
      <c r="H40" s="20">
        <v>0.0</v>
      </c>
      <c r="I40" s="20">
        <v>0.0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20">
        <v>0.0</v>
      </c>
      <c r="P40" s="20">
        <v>0.0</v>
      </c>
      <c r="Q40" s="20">
        <v>0.0</v>
      </c>
      <c r="R40" s="20">
        <v>0.0</v>
      </c>
      <c r="S40" s="17">
        <v>11811.0</v>
      </c>
      <c r="T40" s="20">
        <v>0.0</v>
      </c>
      <c r="U40" s="20">
        <v>0.0</v>
      </c>
      <c r="V40" s="20">
        <v>0.0</v>
      </c>
      <c r="W40" s="20">
        <v>0.0</v>
      </c>
      <c r="X40" s="20">
        <v>0.0</v>
      </c>
      <c r="Y40" s="20">
        <v>0.0</v>
      </c>
      <c r="Z40" s="20">
        <v>0.0</v>
      </c>
      <c r="AA40" s="20">
        <v>0.0</v>
      </c>
      <c r="AB40" s="20">
        <v>0.0</v>
      </c>
      <c r="AC40" s="20">
        <v>0.0</v>
      </c>
      <c r="AD40" s="20">
        <v>0.0</v>
      </c>
      <c r="AE40" s="20">
        <v>0.0</v>
      </c>
      <c r="AF40" s="20">
        <v>0.0</v>
      </c>
      <c r="AG40" s="20">
        <v>0.0</v>
      </c>
      <c r="AH40" s="19">
        <f t="shared" si="9"/>
        <v>11811</v>
      </c>
    </row>
    <row r="41">
      <c r="A41" s="16" t="s">
        <v>41</v>
      </c>
      <c r="B41" s="27">
        <f t="shared" si="7"/>
        <v>0.009474962547</v>
      </c>
      <c r="C41" s="20">
        <v>0.0</v>
      </c>
      <c r="D41" s="20">
        <v>0.0</v>
      </c>
      <c r="E41" s="20">
        <v>0.0</v>
      </c>
      <c r="F41" s="20">
        <v>0.0</v>
      </c>
      <c r="G41" s="20">
        <v>0.0</v>
      </c>
      <c r="H41" s="20">
        <v>0.0</v>
      </c>
      <c r="I41" s="20">
        <v>0.0</v>
      </c>
      <c r="J41" s="20">
        <v>0.0</v>
      </c>
      <c r="K41" s="20">
        <v>0.0</v>
      </c>
      <c r="L41" s="20">
        <v>0.0</v>
      </c>
      <c r="M41" s="20">
        <v>0.0</v>
      </c>
      <c r="N41" s="20">
        <v>0.0</v>
      </c>
      <c r="O41" s="20">
        <v>0.0</v>
      </c>
      <c r="P41" s="20">
        <v>0.0</v>
      </c>
      <c r="Q41" s="20">
        <v>0.0</v>
      </c>
      <c r="R41" s="20">
        <v>0.0</v>
      </c>
      <c r="S41" s="20">
        <v>0.0</v>
      </c>
      <c r="T41" s="20">
        <v>0.0</v>
      </c>
      <c r="U41" s="20">
        <v>0.0</v>
      </c>
      <c r="V41" s="20">
        <v>0.0</v>
      </c>
      <c r="W41" s="20">
        <v>0.0</v>
      </c>
      <c r="X41" s="20">
        <v>0.0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17">
        <v>350000.0</v>
      </c>
      <c r="AE41" s="20">
        <v>0.0</v>
      </c>
      <c r="AF41" s="20">
        <v>0.0</v>
      </c>
      <c r="AG41" s="20">
        <v>0.0</v>
      </c>
      <c r="AH41" s="19">
        <f t="shared" si="9"/>
        <v>350000</v>
      </c>
    </row>
    <row r="42">
      <c r="A42" s="16" t="s">
        <v>42</v>
      </c>
      <c r="B42" s="27">
        <f t="shared" si="7"/>
        <v>0.04955730268</v>
      </c>
      <c r="C42" s="20">
        <v>0.0</v>
      </c>
      <c r="D42" s="20">
        <v>0.0</v>
      </c>
      <c r="E42" s="20">
        <v>0.0</v>
      </c>
      <c r="F42" s="20">
        <v>0.0</v>
      </c>
      <c r="G42" s="20">
        <v>0.0</v>
      </c>
      <c r="H42" s="17">
        <v>1830620.0</v>
      </c>
      <c r="I42" s="20">
        <v>0.0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0.0</v>
      </c>
      <c r="AF42" s="20">
        <v>0.0</v>
      </c>
      <c r="AG42" s="20">
        <v>0.0</v>
      </c>
      <c r="AH42" s="19">
        <f t="shared" si="9"/>
        <v>1830620</v>
      </c>
    </row>
    <row r="43">
      <c r="A43" s="16" t="s">
        <v>43</v>
      </c>
      <c r="B43" s="27">
        <f t="shared" si="7"/>
        <v>0.002707132156</v>
      </c>
      <c r="C43" s="20">
        <v>0.0</v>
      </c>
      <c r="D43" s="20">
        <v>0.0</v>
      </c>
      <c r="E43" s="20">
        <v>0.0</v>
      </c>
      <c r="F43" s="20">
        <v>0.0</v>
      </c>
      <c r="G43" s="20">
        <v>0.0</v>
      </c>
      <c r="H43" s="20">
        <v>0.0</v>
      </c>
      <c r="I43" s="20">
        <v>0.0</v>
      </c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20">
        <v>0.0</v>
      </c>
      <c r="AD43" s="20">
        <v>0.0</v>
      </c>
      <c r="AE43" s="20">
        <v>0.0</v>
      </c>
      <c r="AF43" s="20">
        <v>0.0</v>
      </c>
      <c r="AG43" s="17">
        <v>100000.0</v>
      </c>
      <c r="AH43" s="19">
        <f t="shared" si="9"/>
        <v>100000</v>
      </c>
    </row>
    <row r="44">
      <c r="A44" s="28" t="s">
        <v>44</v>
      </c>
      <c r="B44" s="27">
        <f t="shared" si="7"/>
        <v>0.001867812903</v>
      </c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20">
        <v>0.0</v>
      </c>
      <c r="J44" s="20">
        <v>0.0</v>
      </c>
      <c r="K44" s="20">
        <v>0.0</v>
      </c>
      <c r="L44" s="20">
        <v>0.0</v>
      </c>
      <c r="M44" s="20">
        <v>0.0</v>
      </c>
      <c r="N44" s="20">
        <v>0.0</v>
      </c>
      <c r="O44" s="20">
        <v>0.0</v>
      </c>
      <c r="P44" s="20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20">
        <v>0.0</v>
      </c>
      <c r="W44" s="20">
        <v>0.0</v>
      </c>
      <c r="X44" s="20">
        <v>0.0</v>
      </c>
      <c r="Y44" s="20">
        <v>0.0</v>
      </c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20">
        <v>0.0</v>
      </c>
      <c r="AF44" s="20">
        <v>0.0</v>
      </c>
      <c r="AG44" s="17">
        <v>68996.0</v>
      </c>
      <c r="AH44" s="19">
        <f t="shared" si="9"/>
        <v>68996</v>
      </c>
    </row>
    <row r="45">
      <c r="A45" s="16" t="s">
        <v>45</v>
      </c>
      <c r="B45" s="27">
        <f t="shared" si="7"/>
        <v>0</v>
      </c>
      <c r="C45" s="20">
        <v>0.0</v>
      </c>
      <c r="D45" s="20">
        <v>0.0</v>
      </c>
      <c r="E45" s="20">
        <v>0.0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0">
        <v>0.0</v>
      </c>
      <c r="M45" s="20">
        <v>0.0</v>
      </c>
      <c r="N45" s="20">
        <v>0.0</v>
      </c>
      <c r="O45" s="20">
        <v>0.0</v>
      </c>
      <c r="P45" s="20">
        <v>0.0</v>
      </c>
      <c r="Q45" s="20">
        <v>0.0</v>
      </c>
      <c r="R45" s="20">
        <v>0.0</v>
      </c>
      <c r="S45" s="20">
        <v>0.0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20">
        <v>0.0</v>
      </c>
      <c r="AA45" s="20">
        <v>0.0</v>
      </c>
      <c r="AB45" s="20">
        <v>0.0</v>
      </c>
      <c r="AC45" s="20">
        <v>0.0</v>
      </c>
      <c r="AD45" s="20">
        <v>0.0</v>
      </c>
      <c r="AE45" s="20">
        <v>0.0</v>
      </c>
      <c r="AF45" s="20">
        <v>0.0</v>
      </c>
      <c r="AG45" s="20">
        <v>0.0</v>
      </c>
      <c r="AH45" s="19">
        <f t="shared" si="9"/>
        <v>0</v>
      </c>
    </row>
    <row r="46">
      <c r="A46" s="16" t="s">
        <v>46</v>
      </c>
      <c r="B46" s="27">
        <f t="shared" si="7"/>
        <v>0</v>
      </c>
      <c r="C46" s="20">
        <v>0.0</v>
      </c>
      <c r="D46" s="20">
        <v>0.0</v>
      </c>
      <c r="E46" s="20">
        <v>0.0</v>
      </c>
      <c r="F46" s="20">
        <v>0.0</v>
      </c>
      <c r="G46" s="20">
        <v>0.0</v>
      </c>
      <c r="H46" s="20">
        <v>0.0</v>
      </c>
      <c r="I46" s="20">
        <v>0.0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  <c r="V46" s="20">
        <v>0.0</v>
      </c>
      <c r="W46" s="20">
        <v>0.0</v>
      </c>
      <c r="X46" s="20">
        <v>0.0</v>
      </c>
      <c r="Y46" s="20">
        <v>0.0</v>
      </c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20">
        <v>0.0</v>
      </c>
      <c r="AF46" s="20">
        <v>0.0</v>
      </c>
      <c r="AG46" s="20">
        <v>0.0</v>
      </c>
      <c r="AH46" s="19">
        <f t="shared" si="9"/>
        <v>0</v>
      </c>
    </row>
    <row r="47">
      <c r="A47" s="16" t="s">
        <v>47</v>
      </c>
      <c r="B47" s="27">
        <f t="shared" si="7"/>
        <v>0</v>
      </c>
      <c r="C47" s="20">
        <v>0.0</v>
      </c>
      <c r="D47" s="20">
        <v>0.0</v>
      </c>
      <c r="E47" s="20">
        <v>0.0</v>
      </c>
      <c r="F47" s="20">
        <v>0.0</v>
      </c>
      <c r="G47" s="20">
        <v>0.0</v>
      </c>
      <c r="H47" s="20">
        <v>0.0</v>
      </c>
      <c r="I47" s="20">
        <v>0.0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0">
        <v>0.0</v>
      </c>
      <c r="Q47" s="20">
        <v>0.0</v>
      </c>
      <c r="R47" s="20">
        <v>0.0</v>
      </c>
      <c r="S47" s="20">
        <v>0.0</v>
      </c>
      <c r="T47" s="20">
        <v>0.0</v>
      </c>
      <c r="U47" s="20">
        <v>0.0</v>
      </c>
      <c r="V47" s="20">
        <v>0.0</v>
      </c>
      <c r="W47" s="20">
        <v>0.0</v>
      </c>
      <c r="X47" s="20">
        <v>0.0</v>
      </c>
      <c r="Y47" s="20">
        <v>0.0</v>
      </c>
      <c r="Z47" s="20">
        <v>0.0</v>
      </c>
      <c r="AA47" s="20">
        <v>0.0</v>
      </c>
      <c r="AB47" s="20">
        <v>0.0</v>
      </c>
      <c r="AC47" s="20">
        <v>0.0</v>
      </c>
      <c r="AD47" s="20">
        <v>0.0</v>
      </c>
      <c r="AE47" s="20">
        <v>0.0</v>
      </c>
      <c r="AF47" s="20">
        <v>0.0</v>
      </c>
      <c r="AG47" s="20">
        <v>0.0</v>
      </c>
      <c r="AH47" s="19">
        <f t="shared" si="9"/>
        <v>0</v>
      </c>
    </row>
    <row r="48">
      <c r="A48" s="16" t="s">
        <v>48</v>
      </c>
      <c r="B48" s="27">
        <f t="shared" si="7"/>
        <v>0.004060698234</v>
      </c>
      <c r="C48" s="20">
        <v>0.0</v>
      </c>
      <c r="D48" s="20">
        <v>0.0</v>
      </c>
      <c r="E48" s="20">
        <v>0.0</v>
      </c>
      <c r="F48" s="20">
        <v>0.0</v>
      </c>
      <c r="G48" s="20">
        <v>0.0</v>
      </c>
      <c r="H48" s="17">
        <v>30000.0</v>
      </c>
      <c r="I48" s="20">
        <v>0.0</v>
      </c>
      <c r="J48" s="20">
        <v>0.0</v>
      </c>
      <c r="K48" s="20">
        <v>0.0</v>
      </c>
      <c r="L48" s="20">
        <v>0.0</v>
      </c>
      <c r="M48" s="20">
        <v>0.0</v>
      </c>
      <c r="N48" s="20">
        <v>0.0</v>
      </c>
      <c r="O48" s="20">
        <v>0.0</v>
      </c>
      <c r="P48" s="20">
        <v>0.0</v>
      </c>
      <c r="Q48" s="20">
        <v>0.0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17">
        <v>120000.0</v>
      </c>
      <c r="Z48" s="20">
        <v>0.0</v>
      </c>
      <c r="AA48" s="20">
        <v>0.0</v>
      </c>
      <c r="AB48" s="20">
        <v>0.0</v>
      </c>
      <c r="AC48" s="20">
        <v>0.0</v>
      </c>
      <c r="AD48" s="20">
        <v>0.0</v>
      </c>
      <c r="AE48" s="20">
        <v>0.0</v>
      </c>
      <c r="AF48" s="20">
        <v>0.0</v>
      </c>
      <c r="AG48" s="20">
        <v>0.0</v>
      </c>
      <c r="AH48" s="19">
        <f t="shared" si="9"/>
        <v>150000</v>
      </c>
    </row>
    <row r="49">
      <c r="A49" s="16" t="s">
        <v>49</v>
      </c>
      <c r="B49" s="27">
        <f t="shared" si="7"/>
        <v>0.002625918192</v>
      </c>
      <c r="C49" s="20">
        <v>0.0</v>
      </c>
      <c r="D49" s="20">
        <v>0.0</v>
      </c>
      <c r="E49" s="20">
        <v>0.0</v>
      </c>
      <c r="F49" s="20">
        <v>0.0</v>
      </c>
      <c r="G49" s="20">
        <v>0.0</v>
      </c>
      <c r="H49" s="20">
        <v>0.0</v>
      </c>
      <c r="I49" s="20">
        <v>0.0</v>
      </c>
      <c r="J49" s="20">
        <v>0.0</v>
      </c>
      <c r="K49" s="20">
        <v>0.0</v>
      </c>
      <c r="L49" s="20">
        <v>0.0</v>
      </c>
      <c r="M49" s="20">
        <v>0.0</v>
      </c>
      <c r="N49" s="17">
        <v>2000.0</v>
      </c>
      <c r="O49" s="20">
        <v>0.0</v>
      </c>
      <c r="P49" s="20">
        <v>0.0</v>
      </c>
      <c r="Q49" s="20">
        <v>0.0</v>
      </c>
      <c r="R49" s="20">
        <v>0.0</v>
      </c>
      <c r="S49" s="20">
        <v>0.0</v>
      </c>
      <c r="T49" s="20">
        <v>0.0</v>
      </c>
      <c r="U49" s="20">
        <v>0.0</v>
      </c>
      <c r="V49" s="20">
        <v>0.0</v>
      </c>
      <c r="W49" s="20">
        <v>0.0</v>
      </c>
      <c r="X49" s="20">
        <v>0.0</v>
      </c>
      <c r="Y49" s="17">
        <v>95000.0</v>
      </c>
      <c r="Z49" s="20">
        <v>0.0</v>
      </c>
      <c r="AA49" s="20">
        <v>0.0</v>
      </c>
      <c r="AB49" s="20">
        <v>0.0</v>
      </c>
      <c r="AC49" s="20">
        <v>0.0</v>
      </c>
      <c r="AD49" s="20">
        <v>0.0</v>
      </c>
      <c r="AE49" s="20">
        <v>0.0</v>
      </c>
      <c r="AF49" s="20">
        <v>0.0</v>
      </c>
      <c r="AG49" s="20">
        <v>0.0</v>
      </c>
      <c r="AH49" s="19">
        <f t="shared" si="9"/>
        <v>97000</v>
      </c>
    </row>
    <row r="50">
      <c r="A50" s="16" t="s">
        <v>50</v>
      </c>
      <c r="B50" s="27">
        <f t="shared" si="7"/>
        <v>0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20">
        <v>0.0</v>
      </c>
      <c r="N50" s="20">
        <v>0.0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20">
        <v>0.0</v>
      </c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20">
        <v>0.0</v>
      </c>
      <c r="AF50" s="20">
        <v>0.0</v>
      </c>
      <c r="AG50" s="20">
        <v>0.0</v>
      </c>
      <c r="AH50" s="19">
        <f t="shared" si="9"/>
        <v>0</v>
      </c>
    </row>
    <row r="51">
      <c r="A51" s="16" t="s">
        <v>51</v>
      </c>
      <c r="B51" s="27">
        <f t="shared" si="7"/>
        <v>0</v>
      </c>
      <c r="C51" s="20">
        <v>0.0</v>
      </c>
      <c r="D51" s="20">
        <v>0.0</v>
      </c>
      <c r="E51" s="20">
        <v>0.0</v>
      </c>
      <c r="F51" s="20">
        <v>0.0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  <c r="V51" s="20">
        <v>0.0</v>
      </c>
      <c r="W51" s="20">
        <v>0.0</v>
      </c>
      <c r="X51" s="20">
        <v>0.0</v>
      </c>
      <c r="Y51" s="20">
        <v>0.0</v>
      </c>
      <c r="Z51" s="20">
        <v>0.0</v>
      </c>
      <c r="AA51" s="20">
        <v>0.0</v>
      </c>
      <c r="AB51" s="20">
        <v>0.0</v>
      </c>
      <c r="AC51" s="20">
        <v>0.0</v>
      </c>
      <c r="AD51" s="20">
        <v>0.0</v>
      </c>
      <c r="AE51" s="20">
        <v>0.0</v>
      </c>
      <c r="AF51" s="20">
        <v>0.0</v>
      </c>
      <c r="AG51" s="20">
        <v>0.0</v>
      </c>
      <c r="AH51" s="19">
        <f t="shared" si="9"/>
        <v>0</v>
      </c>
    </row>
    <row r="52">
      <c r="A52" s="16" t="s">
        <v>52</v>
      </c>
      <c r="B52" s="27">
        <f t="shared" si="7"/>
        <v>0.07767390211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0">
        <v>0.0</v>
      </c>
      <c r="M52" s="20">
        <v>0.0</v>
      </c>
      <c r="N52" s="17">
        <v>2869232.0</v>
      </c>
      <c r="O52" s="20">
        <v>0.0</v>
      </c>
      <c r="P52" s="20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20">
        <v>0.0</v>
      </c>
      <c r="X52" s="20">
        <v>0.0</v>
      </c>
      <c r="Y52" s="20">
        <v>0.0</v>
      </c>
      <c r="Z52" s="20">
        <v>0.0</v>
      </c>
      <c r="AA52" s="20">
        <v>0.0</v>
      </c>
      <c r="AB52" s="20">
        <v>0.0</v>
      </c>
      <c r="AC52" s="20">
        <v>0.0</v>
      </c>
      <c r="AD52" s="20">
        <v>0.0</v>
      </c>
      <c r="AE52" s="20">
        <v>0.0</v>
      </c>
      <c r="AF52" s="20">
        <v>0.0</v>
      </c>
      <c r="AG52" s="20">
        <v>0.0</v>
      </c>
      <c r="AH52" s="19">
        <f t="shared" si="9"/>
        <v>2869232</v>
      </c>
    </row>
    <row r="53">
      <c r="A53" s="35" t="s">
        <v>53</v>
      </c>
      <c r="B53" s="36">
        <f t="shared" si="7"/>
        <v>0.001813805616</v>
      </c>
      <c r="C53" s="37">
        <f t="shared" ref="C53:AE53" si="10">sum(C54:C61)</f>
        <v>0</v>
      </c>
      <c r="D53" s="37">
        <f t="shared" si="10"/>
        <v>0</v>
      </c>
      <c r="E53" s="37">
        <f t="shared" si="10"/>
        <v>0</v>
      </c>
      <c r="F53" s="37">
        <f t="shared" si="10"/>
        <v>0</v>
      </c>
      <c r="G53" s="37">
        <f t="shared" si="10"/>
        <v>9401</v>
      </c>
      <c r="H53" s="37">
        <f t="shared" si="10"/>
        <v>3950</v>
      </c>
      <c r="I53" s="37">
        <f t="shared" si="10"/>
        <v>0</v>
      </c>
      <c r="J53" s="37">
        <f t="shared" si="10"/>
        <v>0</v>
      </c>
      <c r="K53" s="37">
        <f t="shared" si="10"/>
        <v>0</v>
      </c>
      <c r="L53" s="37">
        <f t="shared" si="10"/>
        <v>0</v>
      </c>
      <c r="M53" s="37">
        <f t="shared" si="10"/>
        <v>19750</v>
      </c>
      <c r="N53" s="37">
        <f t="shared" si="10"/>
        <v>0</v>
      </c>
      <c r="O53" s="37">
        <f t="shared" si="10"/>
        <v>0</v>
      </c>
      <c r="P53" s="37">
        <f t="shared" si="10"/>
        <v>0</v>
      </c>
      <c r="Q53" s="37">
        <f t="shared" si="10"/>
        <v>0</v>
      </c>
      <c r="R53" s="37">
        <f t="shared" si="10"/>
        <v>0</v>
      </c>
      <c r="S53" s="37">
        <f t="shared" si="10"/>
        <v>0</v>
      </c>
      <c r="T53" s="37">
        <f t="shared" si="10"/>
        <v>0</v>
      </c>
      <c r="U53" s="37">
        <f t="shared" si="10"/>
        <v>6000</v>
      </c>
      <c r="V53" s="37">
        <f t="shared" si="10"/>
        <v>0</v>
      </c>
      <c r="W53" s="37">
        <f t="shared" si="10"/>
        <v>27900</v>
      </c>
      <c r="X53" s="37">
        <f t="shared" si="10"/>
        <v>0</v>
      </c>
      <c r="Y53" s="37">
        <f t="shared" si="10"/>
        <v>0</v>
      </c>
      <c r="Z53" s="37">
        <f t="shared" si="10"/>
        <v>0</v>
      </c>
      <c r="AA53" s="37">
        <f t="shared" si="10"/>
        <v>0</v>
      </c>
      <c r="AB53" s="37">
        <f t="shared" si="10"/>
        <v>0</v>
      </c>
      <c r="AC53" s="37">
        <f t="shared" si="10"/>
        <v>0</v>
      </c>
      <c r="AD53" s="37">
        <f t="shared" si="10"/>
        <v>0</v>
      </c>
      <c r="AE53" s="37">
        <f t="shared" si="10"/>
        <v>0</v>
      </c>
      <c r="AF53" s="37">
        <f>SUM(AF54:AF61)</f>
        <v>0</v>
      </c>
      <c r="AG53" s="37">
        <f>sum(AG54:AG61)</f>
        <v>0</v>
      </c>
      <c r="AH53" s="38">
        <f>SUM(AH54:AH61)</f>
        <v>67001</v>
      </c>
    </row>
    <row r="54">
      <c r="A54" s="16" t="s">
        <v>54</v>
      </c>
      <c r="B54" s="27">
        <f t="shared" si="7"/>
        <v>0.0001069317202</v>
      </c>
      <c r="C54" s="20">
        <v>0.0</v>
      </c>
      <c r="D54" s="20">
        <v>0.0</v>
      </c>
      <c r="E54" s="20">
        <v>0.0</v>
      </c>
      <c r="F54" s="20">
        <v>0.0</v>
      </c>
      <c r="G54" s="20">
        <v>0.0</v>
      </c>
      <c r="H54" s="17">
        <v>3950.0</v>
      </c>
      <c r="I54" s="20">
        <v>0.0</v>
      </c>
      <c r="J54" s="20">
        <v>0.0</v>
      </c>
      <c r="K54" s="20">
        <v>0.0</v>
      </c>
      <c r="L54" s="20">
        <v>0.0</v>
      </c>
      <c r="M54" s="20">
        <v>0.0</v>
      </c>
      <c r="N54" s="20">
        <v>0.0</v>
      </c>
      <c r="O54" s="20">
        <v>0.0</v>
      </c>
      <c r="P54" s="20">
        <v>0.0</v>
      </c>
      <c r="Q54" s="20">
        <v>0.0</v>
      </c>
      <c r="R54" s="20">
        <v>0.0</v>
      </c>
      <c r="S54" s="20">
        <v>0.0</v>
      </c>
      <c r="T54" s="20">
        <v>0.0</v>
      </c>
      <c r="U54" s="20">
        <v>0.0</v>
      </c>
      <c r="V54" s="20">
        <v>0.0</v>
      </c>
      <c r="W54" s="20">
        <v>0.0</v>
      </c>
      <c r="X54" s="20">
        <v>0.0</v>
      </c>
      <c r="Y54" s="20">
        <v>0.0</v>
      </c>
      <c r="Z54" s="20">
        <v>0.0</v>
      </c>
      <c r="AA54" s="20">
        <v>0.0</v>
      </c>
      <c r="AB54" s="20">
        <v>0.0</v>
      </c>
      <c r="AC54" s="20">
        <v>0.0</v>
      </c>
      <c r="AD54" s="20">
        <v>0.0</v>
      </c>
      <c r="AE54" s="20">
        <v>0.0</v>
      </c>
      <c r="AF54" s="20">
        <v>0.0</v>
      </c>
      <c r="AG54" s="20">
        <v>0.0</v>
      </c>
      <c r="AH54" s="19">
        <f t="shared" ref="AH54:AH61" si="11">SUM(C54:AG54)</f>
        <v>3950</v>
      </c>
    </row>
    <row r="55">
      <c r="A55" s="16" t="s">
        <v>55</v>
      </c>
      <c r="B55" s="27">
        <f t="shared" si="7"/>
        <v>0</v>
      </c>
      <c r="C55" s="20">
        <v>0.0</v>
      </c>
      <c r="D55" s="20">
        <v>0.0</v>
      </c>
      <c r="E55" s="20">
        <v>0.0</v>
      </c>
      <c r="F55" s="20">
        <v>0.0</v>
      </c>
      <c r="G55" s="20">
        <v>0.0</v>
      </c>
      <c r="H55" s="20">
        <v>0.0</v>
      </c>
      <c r="I55" s="20">
        <v>0.0</v>
      </c>
      <c r="J55" s="20">
        <v>0.0</v>
      </c>
      <c r="K55" s="20">
        <v>0.0</v>
      </c>
      <c r="L55" s="20">
        <v>0.0</v>
      </c>
      <c r="M55" s="20">
        <v>0.0</v>
      </c>
      <c r="N55" s="20">
        <v>0.0</v>
      </c>
      <c r="O55" s="20">
        <v>0.0</v>
      </c>
      <c r="P55" s="20">
        <v>0.0</v>
      </c>
      <c r="Q55" s="20">
        <v>0.0</v>
      </c>
      <c r="R55" s="20">
        <v>0.0</v>
      </c>
      <c r="S55" s="20">
        <v>0.0</v>
      </c>
      <c r="T55" s="20">
        <v>0.0</v>
      </c>
      <c r="U55" s="20">
        <v>0.0</v>
      </c>
      <c r="V55" s="20">
        <v>0.0</v>
      </c>
      <c r="W55" s="20">
        <v>0.0</v>
      </c>
      <c r="X55" s="20">
        <v>0.0</v>
      </c>
      <c r="Y55" s="20">
        <v>0.0</v>
      </c>
      <c r="Z55" s="20">
        <v>0.0</v>
      </c>
      <c r="AA55" s="20">
        <v>0.0</v>
      </c>
      <c r="AB55" s="20">
        <v>0.0</v>
      </c>
      <c r="AC55" s="20">
        <v>0.0</v>
      </c>
      <c r="AD55" s="20">
        <v>0.0</v>
      </c>
      <c r="AE55" s="20">
        <v>0.0</v>
      </c>
      <c r="AF55" s="20">
        <v>0.0</v>
      </c>
      <c r="AG55" s="20">
        <v>0.0</v>
      </c>
      <c r="AH55" s="19">
        <f t="shared" si="11"/>
        <v>0</v>
      </c>
    </row>
    <row r="56">
      <c r="A56" s="16" t="s">
        <v>56</v>
      </c>
      <c r="B56" s="27">
        <f t="shared" si="7"/>
        <v>0</v>
      </c>
      <c r="C56" s="20">
        <v>0.0</v>
      </c>
      <c r="D56" s="20">
        <v>0.0</v>
      </c>
      <c r="E56" s="20">
        <v>0.0</v>
      </c>
      <c r="F56" s="20">
        <v>0.0</v>
      </c>
      <c r="G56" s="20">
        <v>0.0</v>
      </c>
      <c r="H56" s="20">
        <v>0.0</v>
      </c>
      <c r="I56" s="20">
        <v>0.0</v>
      </c>
      <c r="J56" s="20">
        <v>0.0</v>
      </c>
      <c r="K56" s="20">
        <v>0.0</v>
      </c>
      <c r="L56" s="20">
        <v>0.0</v>
      </c>
      <c r="M56" s="20">
        <v>0.0</v>
      </c>
      <c r="N56" s="20">
        <v>0.0</v>
      </c>
      <c r="O56" s="20">
        <v>0.0</v>
      </c>
      <c r="P56" s="20">
        <v>0.0</v>
      </c>
      <c r="Q56" s="20">
        <v>0.0</v>
      </c>
      <c r="R56" s="20">
        <v>0.0</v>
      </c>
      <c r="S56" s="20">
        <v>0.0</v>
      </c>
      <c r="T56" s="20">
        <v>0.0</v>
      </c>
      <c r="U56" s="20">
        <v>0.0</v>
      </c>
      <c r="V56" s="20">
        <v>0.0</v>
      </c>
      <c r="W56" s="20">
        <v>0.0</v>
      </c>
      <c r="X56" s="20">
        <v>0.0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20">
        <v>0.0</v>
      </c>
      <c r="AF56" s="20">
        <v>0.0</v>
      </c>
      <c r="AG56" s="20">
        <v>0.0</v>
      </c>
      <c r="AH56" s="19">
        <f t="shared" si="11"/>
        <v>0</v>
      </c>
    </row>
    <row r="57">
      <c r="A57" s="16" t="s">
        <v>57</v>
      </c>
      <c r="B57" s="27">
        <f t="shared" si="7"/>
        <v>0.0007891560949</v>
      </c>
      <c r="C57" s="20">
        <v>0.0</v>
      </c>
      <c r="D57" s="20">
        <v>0.0</v>
      </c>
      <c r="E57" s="20">
        <v>0.0</v>
      </c>
      <c r="F57" s="20">
        <v>0.0</v>
      </c>
      <c r="G57" s="17">
        <v>9401.0</v>
      </c>
      <c r="H57" s="20">
        <v>0.0</v>
      </c>
      <c r="I57" s="20">
        <v>0.0</v>
      </c>
      <c r="J57" s="20">
        <v>0.0</v>
      </c>
      <c r="K57" s="20">
        <v>0.0</v>
      </c>
      <c r="L57" s="20">
        <v>0.0</v>
      </c>
      <c r="M57" s="17">
        <v>19750.0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  <c r="V57" s="20">
        <v>0.0</v>
      </c>
      <c r="W57" s="20">
        <v>0.0</v>
      </c>
      <c r="X57" s="20">
        <v>0.0</v>
      </c>
      <c r="Y57" s="20">
        <v>0.0</v>
      </c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19">
        <f t="shared" si="11"/>
        <v>29151</v>
      </c>
    </row>
    <row r="58">
      <c r="A58" s="16" t="s">
        <v>58</v>
      </c>
      <c r="B58" s="27">
        <f t="shared" si="7"/>
        <v>0</v>
      </c>
      <c r="C58" s="20">
        <v>0.0</v>
      </c>
      <c r="D58" s="20">
        <v>0.0</v>
      </c>
      <c r="E58" s="20">
        <v>0.0</v>
      </c>
      <c r="F58" s="20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0">
        <v>0.0</v>
      </c>
      <c r="M58" s="20">
        <v>0.0</v>
      </c>
      <c r="N58" s="20">
        <v>0.0</v>
      </c>
      <c r="O58" s="20">
        <v>0.0</v>
      </c>
      <c r="P58" s="20">
        <v>0.0</v>
      </c>
      <c r="Q58" s="20">
        <v>0.0</v>
      </c>
      <c r="R58" s="20">
        <v>0.0</v>
      </c>
      <c r="S58" s="20">
        <v>0.0</v>
      </c>
      <c r="T58" s="20">
        <v>0.0</v>
      </c>
      <c r="U58" s="20">
        <v>0.0</v>
      </c>
      <c r="V58" s="20">
        <v>0.0</v>
      </c>
      <c r="W58" s="20">
        <v>0.0</v>
      </c>
      <c r="X58" s="20">
        <v>0.0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20">
        <v>0.0</v>
      </c>
      <c r="AE58" s="20">
        <v>0.0</v>
      </c>
      <c r="AF58" s="20">
        <v>0.0</v>
      </c>
      <c r="AG58" s="20">
        <v>0.0</v>
      </c>
      <c r="AH58" s="19">
        <f t="shared" si="11"/>
        <v>0</v>
      </c>
    </row>
    <row r="59">
      <c r="A59" s="16" t="s">
        <v>59</v>
      </c>
      <c r="B59" s="27">
        <f t="shared" si="7"/>
        <v>0.0007552898716</v>
      </c>
      <c r="C59" s="20">
        <v>0.0</v>
      </c>
      <c r="D59" s="20">
        <v>0.0</v>
      </c>
      <c r="E59" s="20">
        <v>0.0</v>
      </c>
      <c r="F59" s="20">
        <v>0.0</v>
      </c>
      <c r="G59" s="20">
        <v>0.0</v>
      </c>
      <c r="H59" s="20">
        <v>0.0</v>
      </c>
      <c r="I59" s="17">
        <v>0.0</v>
      </c>
      <c r="J59" s="20">
        <v>0.0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0.0</v>
      </c>
      <c r="S59" s="20">
        <v>0.0</v>
      </c>
      <c r="T59" s="20">
        <v>0.0</v>
      </c>
      <c r="U59" s="20">
        <v>0.0</v>
      </c>
      <c r="V59" s="20">
        <v>0.0</v>
      </c>
      <c r="W59" s="17">
        <v>27900.0</v>
      </c>
      <c r="X59" s="20">
        <v>0.0</v>
      </c>
      <c r="Y59" s="20">
        <v>0.0</v>
      </c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20">
        <v>0.0</v>
      </c>
      <c r="AF59" s="20">
        <v>0.0</v>
      </c>
      <c r="AG59" s="20">
        <v>0.0</v>
      </c>
      <c r="AH59" s="19">
        <f t="shared" si="11"/>
        <v>27900</v>
      </c>
    </row>
    <row r="60">
      <c r="A60" s="16" t="s">
        <v>60</v>
      </c>
      <c r="B60" s="27">
        <f t="shared" si="7"/>
        <v>0</v>
      </c>
      <c r="C60" s="20">
        <v>0.0</v>
      </c>
      <c r="D60" s="20">
        <v>0.0</v>
      </c>
      <c r="E60" s="20">
        <v>0.0</v>
      </c>
      <c r="F60" s="20">
        <v>0.0</v>
      </c>
      <c r="G60" s="20">
        <v>0.0</v>
      </c>
      <c r="H60" s="20">
        <v>0.0</v>
      </c>
      <c r="I60" s="20">
        <v>0.0</v>
      </c>
      <c r="J60" s="20">
        <v>0.0</v>
      </c>
      <c r="K60" s="20">
        <v>0.0</v>
      </c>
      <c r="L60" s="20">
        <v>0.0</v>
      </c>
      <c r="M60" s="20">
        <v>0.0</v>
      </c>
      <c r="N60" s="20">
        <v>0.0</v>
      </c>
      <c r="O60" s="20">
        <v>0.0</v>
      </c>
      <c r="P60" s="20">
        <v>0.0</v>
      </c>
      <c r="Q60" s="20">
        <v>0.0</v>
      </c>
      <c r="R60" s="20">
        <v>0.0</v>
      </c>
      <c r="S60" s="20">
        <v>0.0</v>
      </c>
      <c r="T60" s="20">
        <v>0.0</v>
      </c>
      <c r="U60" s="20">
        <v>0.0</v>
      </c>
      <c r="V60" s="20">
        <v>0.0</v>
      </c>
      <c r="W60" s="20">
        <v>0.0</v>
      </c>
      <c r="X60" s="20">
        <v>0.0</v>
      </c>
      <c r="Y60" s="20">
        <v>0.0</v>
      </c>
      <c r="Z60" s="20">
        <v>0.0</v>
      </c>
      <c r="AA60" s="20">
        <v>0.0</v>
      </c>
      <c r="AB60" s="20">
        <v>0.0</v>
      </c>
      <c r="AC60" s="20">
        <v>0.0</v>
      </c>
      <c r="AD60" s="20">
        <v>0.0</v>
      </c>
      <c r="AE60" s="20">
        <v>0.0</v>
      </c>
      <c r="AF60" s="20">
        <v>0.0</v>
      </c>
      <c r="AG60" s="20">
        <v>0.0</v>
      </c>
      <c r="AH60" s="19">
        <f t="shared" si="11"/>
        <v>0</v>
      </c>
    </row>
    <row r="61">
      <c r="A61" s="16" t="s">
        <v>61</v>
      </c>
      <c r="B61" s="27">
        <f t="shared" si="7"/>
        <v>0.0001624279294</v>
      </c>
      <c r="C61" s="20">
        <v>0.0</v>
      </c>
      <c r="D61" s="20">
        <v>0.0</v>
      </c>
      <c r="E61" s="20">
        <v>0.0</v>
      </c>
      <c r="F61" s="20">
        <v>0.0</v>
      </c>
      <c r="G61" s="20">
        <v>0.0</v>
      </c>
      <c r="H61" s="20">
        <v>0.0</v>
      </c>
      <c r="I61" s="20">
        <v>0.0</v>
      </c>
      <c r="J61" s="20">
        <v>0.0</v>
      </c>
      <c r="K61" s="20">
        <v>0.0</v>
      </c>
      <c r="L61" s="20">
        <v>0.0</v>
      </c>
      <c r="M61" s="20">
        <v>0.0</v>
      </c>
      <c r="N61" s="20">
        <v>0.0</v>
      </c>
      <c r="O61" s="20">
        <v>0.0</v>
      </c>
      <c r="P61" s="20">
        <v>0.0</v>
      </c>
      <c r="Q61" s="20">
        <v>0.0</v>
      </c>
      <c r="R61" s="20">
        <v>0.0</v>
      </c>
      <c r="S61" s="20">
        <v>0.0</v>
      </c>
      <c r="T61" s="20">
        <v>0.0</v>
      </c>
      <c r="U61" s="17">
        <v>6000.0</v>
      </c>
      <c r="V61" s="20">
        <v>0.0</v>
      </c>
      <c r="W61" s="20">
        <v>0.0</v>
      </c>
      <c r="X61" s="20">
        <v>0.0</v>
      </c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19">
        <f t="shared" si="11"/>
        <v>6000</v>
      </c>
    </row>
    <row r="62">
      <c r="A62" s="7"/>
      <c r="B62" s="8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>
      <c r="A63" s="35" t="s">
        <v>62</v>
      </c>
      <c r="B63" s="36">
        <f t="shared" ref="B63:B74" si="14">AH63/$AH$10</f>
        <v>0.03096718252</v>
      </c>
      <c r="C63" s="37">
        <f t="shared" ref="C63:AB63" si="12">sum(C64:C73)</f>
        <v>0</v>
      </c>
      <c r="D63" s="37">
        <f t="shared" si="12"/>
        <v>0</v>
      </c>
      <c r="E63" s="37">
        <f t="shared" si="12"/>
        <v>58245</v>
      </c>
      <c r="F63" s="37">
        <f t="shared" si="12"/>
        <v>0</v>
      </c>
      <c r="G63" s="37">
        <f t="shared" si="12"/>
        <v>0</v>
      </c>
      <c r="H63" s="37">
        <f t="shared" si="12"/>
        <v>0</v>
      </c>
      <c r="I63" s="37">
        <f t="shared" si="12"/>
        <v>108969</v>
      </c>
      <c r="J63" s="37">
        <f t="shared" si="12"/>
        <v>0</v>
      </c>
      <c r="K63" s="37">
        <f t="shared" si="12"/>
        <v>0</v>
      </c>
      <c r="L63" s="37">
        <f t="shared" si="12"/>
        <v>0</v>
      </c>
      <c r="M63" s="37">
        <f t="shared" si="12"/>
        <v>0</v>
      </c>
      <c r="N63" s="37">
        <f t="shared" si="12"/>
        <v>0</v>
      </c>
      <c r="O63" s="37">
        <f t="shared" si="12"/>
        <v>0</v>
      </c>
      <c r="P63" s="37">
        <f t="shared" si="12"/>
        <v>0</v>
      </c>
      <c r="Q63" s="37">
        <f t="shared" si="12"/>
        <v>0</v>
      </c>
      <c r="R63" s="37">
        <f t="shared" si="12"/>
        <v>0</v>
      </c>
      <c r="S63" s="37">
        <f t="shared" si="12"/>
        <v>0</v>
      </c>
      <c r="T63" s="37">
        <f t="shared" si="12"/>
        <v>0</v>
      </c>
      <c r="U63" s="37">
        <f t="shared" si="12"/>
        <v>0</v>
      </c>
      <c r="V63" s="37">
        <f t="shared" si="12"/>
        <v>0</v>
      </c>
      <c r="W63" s="37">
        <f t="shared" si="12"/>
        <v>0</v>
      </c>
      <c r="X63" s="37">
        <f t="shared" si="12"/>
        <v>0</v>
      </c>
      <c r="Y63" s="37">
        <f t="shared" si="12"/>
        <v>0</v>
      </c>
      <c r="Z63" s="37">
        <f t="shared" si="12"/>
        <v>218094</v>
      </c>
      <c r="AA63" s="37">
        <f t="shared" si="12"/>
        <v>47600</v>
      </c>
      <c r="AB63" s="37">
        <f t="shared" si="12"/>
        <v>0</v>
      </c>
      <c r="AC63" s="37">
        <f>sum(AC64:AC74)</f>
        <v>111003</v>
      </c>
      <c r="AD63" s="37">
        <f t="shared" ref="AD63:AG63" si="13">sum(AD64:AD73)</f>
        <v>0</v>
      </c>
      <c r="AE63" s="37">
        <f t="shared" si="13"/>
        <v>0</v>
      </c>
      <c r="AF63" s="37">
        <f t="shared" si="13"/>
        <v>0</v>
      </c>
      <c r="AG63" s="37">
        <f t="shared" si="13"/>
        <v>600000</v>
      </c>
      <c r="AH63" s="38">
        <f>SUM(AH64:AH74)</f>
        <v>1143911</v>
      </c>
    </row>
    <row r="64">
      <c r="A64" s="16" t="s">
        <v>63</v>
      </c>
      <c r="B64" s="27">
        <f t="shared" si="14"/>
        <v>0.008854027644</v>
      </c>
      <c r="C64" s="20">
        <v>0.0</v>
      </c>
      <c r="D64" s="20">
        <v>0.0</v>
      </c>
      <c r="E64" s="20">
        <v>0.0</v>
      </c>
      <c r="F64" s="20">
        <v>0.0</v>
      </c>
      <c r="G64" s="20">
        <v>0.0</v>
      </c>
      <c r="H64" s="17">
        <v>0.0</v>
      </c>
      <c r="I64" s="17">
        <v>108969.0</v>
      </c>
      <c r="J64" s="20">
        <v>0.0</v>
      </c>
      <c r="K64" s="20">
        <v>0.0</v>
      </c>
      <c r="L64" s="20">
        <v>0.0</v>
      </c>
      <c r="M64" s="20">
        <v>0.0</v>
      </c>
      <c r="N64" s="20">
        <v>0.0</v>
      </c>
      <c r="O64" s="20">
        <v>0.0</v>
      </c>
      <c r="P64" s="20">
        <v>0.0</v>
      </c>
      <c r="Q64" s="20">
        <v>0.0</v>
      </c>
      <c r="R64" s="20">
        <v>0.0</v>
      </c>
      <c r="S64" s="20">
        <v>0.0</v>
      </c>
      <c r="T64" s="20">
        <v>0.0</v>
      </c>
      <c r="U64" s="20">
        <v>0.0</v>
      </c>
      <c r="V64" s="20">
        <v>0.0</v>
      </c>
      <c r="W64" s="20">
        <v>0.0</v>
      </c>
      <c r="X64" s="17">
        <v>0.0</v>
      </c>
      <c r="Y64" s="20">
        <v>0.0</v>
      </c>
      <c r="Z64" s="20">
        <f>109047+109047</f>
        <v>218094</v>
      </c>
      <c r="AA64" s="20">
        <v>0.0</v>
      </c>
      <c r="AB64" s="20">
        <v>0.0</v>
      </c>
      <c r="AC64" s="20">
        <v>0.0</v>
      </c>
      <c r="AD64" s="20">
        <v>0.0</v>
      </c>
      <c r="AE64" s="20">
        <v>0.0</v>
      </c>
      <c r="AF64" s="20">
        <v>0.0</v>
      </c>
      <c r="AG64" s="20">
        <v>0.0</v>
      </c>
      <c r="AH64" s="19">
        <f t="shared" ref="AH64:AH74" si="15">SUM(C64:AG64)</f>
        <v>327063</v>
      </c>
    </row>
    <row r="65">
      <c r="A65" s="16" t="s">
        <v>64</v>
      </c>
      <c r="B65" s="27">
        <f t="shared" si="14"/>
        <v>0.001576769124</v>
      </c>
      <c r="C65" s="20">
        <v>0.0</v>
      </c>
      <c r="D65" s="20">
        <v>0.0</v>
      </c>
      <c r="E65" s="17">
        <v>58245.0</v>
      </c>
      <c r="F65" s="20">
        <v>0.0</v>
      </c>
      <c r="G65" s="20">
        <v>0.0</v>
      </c>
      <c r="H65" s="20">
        <v>0.0</v>
      </c>
      <c r="I65" s="20">
        <v>0.0</v>
      </c>
      <c r="J65" s="20">
        <v>0.0</v>
      </c>
      <c r="K65" s="20">
        <v>0.0</v>
      </c>
      <c r="L65" s="20">
        <v>0.0</v>
      </c>
      <c r="M65" s="20">
        <v>0.0</v>
      </c>
      <c r="N65" s="20">
        <v>0.0</v>
      </c>
      <c r="O65" s="20">
        <v>0.0</v>
      </c>
      <c r="P65" s="20">
        <v>0.0</v>
      </c>
      <c r="Q65" s="20">
        <v>0.0</v>
      </c>
      <c r="R65" s="20">
        <v>0.0</v>
      </c>
      <c r="S65" s="20">
        <v>0.0</v>
      </c>
      <c r="T65" s="20">
        <v>0.0</v>
      </c>
      <c r="U65" s="20">
        <v>0.0</v>
      </c>
      <c r="V65" s="20">
        <v>0.0</v>
      </c>
      <c r="W65" s="20">
        <v>0.0</v>
      </c>
      <c r="X65" s="20">
        <v>0.0</v>
      </c>
      <c r="Y65" s="20">
        <v>0.0</v>
      </c>
      <c r="Z65" s="20">
        <v>0.0</v>
      </c>
      <c r="AA65" s="20">
        <v>0.0</v>
      </c>
      <c r="AB65" s="20">
        <v>0.0</v>
      </c>
      <c r="AC65" s="20">
        <v>0.0</v>
      </c>
      <c r="AD65" s="20">
        <v>0.0</v>
      </c>
      <c r="AE65" s="20">
        <v>0.0</v>
      </c>
      <c r="AF65" s="20">
        <v>0.0</v>
      </c>
      <c r="AG65" s="20">
        <v>0.0</v>
      </c>
      <c r="AH65" s="19">
        <f t="shared" si="15"/>
        <v>58245</v>
      </c>
    </row>
    <row r="66">
      <c r="A66" s="16" t="s">
        <v>65</v>
      </c>
      <c r="B66" s="27">
        <f t="shared" si="14"/>
        <v>0.001288594906</v>
      </c>
      <c r="C66" s="20">
        <v>0.0</v>
      </c>
      <c r="D66" s="20">
        <v>0.0</v>
      </c>
      <c r="E66" s="20">
        <v>0.0</v>
      </c>
      <c r="F66" s="20">
        <v>0.0</v>
      </c>
      <c r="G66" s="20">
        <v>0.0</v>
      </c>
      <c r="H66" s="20">
        <v>0.0</v>
      </c>
      <c r="I66" s="20">
        <v>0.0</v>
      </c>
      <c r="J66" s="20">
        <v>0.0</v>
      </c>
      <c r="K66" s="20">
        <v>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0">
        <v>0.0</v>
      </c>
      <c r="Y66" s="20">
        <v>0.0</v>
      </c>
      <c r="Z66" s="20">
        <v>0.0</v>
      </c>
      <c r="AA66" s="17">
        <v>47600.0</v>
      </c>
      <c r="AB66" s="20">
        <v>0.0</v>
      </c>
      <c r="AC66" s="20">
        <v>0.0</v>
      </c>
      <c r="AD66" s="20">
        <v>0.0</v>
      </c>
      <c r="AE66" s="20">
        <v>0.0</v>
      </c>
      <c r="AF66" s="20">
        <v>0.0</v>
      </c>
      <c r="AG66" s="20">
        <v>0.0</v>
      </c>
      <c r="AH66" s="19">
        <f t="shared" si="15"/>
        <v>47600</v>
      </c>
    </row>
    <row r="67">
      <c r="A67" s="16" t="s">
        <v>66</v>
      </c>
      <c r="B67" s="27">
        <f t="shared" si="14"/>
        <v>0</v>
      </c>
      <c r="C67" s="20">
        <v>0.0</v>
      </c>
      <c r="D67" s="20">
        <v>0.0</v>
      </c>
      <c r="E67" s="20">
        <v>0.0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0.0</v>
      </c>
      <c r="M67" s="20">
        <v>0.0</v>
      </c>
      <c r="N67" s="20">
        <v>0.0</v>
      </c>
      <c r="O67" s="20">
        <v>0.0</v>
      </c>
      <c r="P67" s="20">
        <v>0.0</v>
      </c>
      <c r="Q67" s="20">
        <v>0.0</v>
      </c>
      <c r="R67" s="20">
        <v>0.0</v>
      </c>
      <c r="S67" s="20">
        <v>0.0</v>
      </c>
      <c r="T67" s="20">
        <v>0.0</v>
      </c>
      <c r="U67" s="20">
        <v>0.0</v>
      </c>
      <c r="V67" s="20">
        <v>0.0</v>
      </c>
      <c r="W67" s="20">
        <v>0.0</v>
      </c>
      <c r="X67" s="20">
        <v>0.0</v>
      </c>
      <c r="Y67" s="20">
        <v>0.0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0.0</v>
      </c>
      <c r="AF67" s="20">
        <v>0.0</v>
      </c>
      <c r="AG67" s="20">
        <v>0.0</v>
      </c>
      <c r="AH67" s="19">
        <f t="shared" si="15"/>
        <v>0</v>
      </c>
    </row>
    <row r="68">
      <c r="A68" s="16" t="s">
        <v>67</v>
      </c>
      <c r="B68" s="27">
        <f t="shared" si="14"/>
        <v>0.002775162387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20">
        <v>0.0</v>
      </c>
      <c r="L68" s="20">
        <v>0.0</v>
      </c>
      <c r="M68" s="20">
        <v>0.0</v>
      </c>
      <c r="N68" s="20">
        <v>0.0</v>
      </c>
      <c r="O68" s="20">
        <v>0.0</v>
      </c>
      <c r="P68" s="20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0.0</v>
      </c>
      <c r="V68" s="20">
        <v>0.0</v>
      </c>
      <c r="W68" s="20">
        <v>0.0</v>
      </c>
      <c r="X68" s="20">
        <v>0.0</v>
      </c>
      <c r="Y68" s="20">
        <v>0.0</v>
      </c>
      <c r="Z68" s="20">
        <v>0.0</v>
      </c>
      <c r="AA68" s="20">
        <v>0.0</v>
      </c>
      <c r="AB68" s="20">
        <v>0.0</v>
      </c>
      <c r="AC68" s="17">
        <v>102513.0</v>
      </c>
      <c r="AD68" s="20">
        <v>0.0</v>
      </c>
      <c r="AE68" s="20">
        <v>0.0</v>
      </c>
      <c r="AF68" s="20">
        <v>0.0</v>
      </c>
      <c r="AG68" s="20">
        <v>0.0</v>
      </c>
      <c r="AH68" s="19">
        <f t="shared" si="15"/>
        <v>102513</v>
      </c>
    </row>
    <row r="69">
      <c r="A69" s="16" t="s">
        <v>68</v>
      </c>
      <c r="B69" s="27">
        <f t="shared" si="14"/>
        <v>0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v>0.0</v>
      </c>
      <c r="L69" s="20">
        <v>0.0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20">
        <v>0.0</v>
      </c>
      <c r="W69" s="20">
        <v>0.0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20">
        <v>0.0</v>
      </c>
      <c r="AF69" s="20">
        <v>0.0</v>
      </c>
      <c r="AG69" s="20">
        <v>0.0</v>
      </c>
      <c r="AH69" s="19">
        <f t="shared" si="15"/>
        <v>0</v>
      </c>
    </row>
    <row r="70">
      <c r="A70" s="16" t="s">
        <v>69</v>
      </c>
      <c r="B70" s="27">
        <f t="shared" si="14"/>
        <v>0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20">
        <v>0.0</v>
      </c>
      <c r="AC70" s="20">
        <v>0.0</v>
      </c>
      <c r="AD70" s="20">
        <v>0.0</v>
      </c>
      <c r="AE70" s="20">
        <v>0.0</v>
      </c>
      <c r="AF70" s="20">
        <v>0.0</v>
      </c>
      <c r="AG70" s="20">
        <v>0.0</v>
      </c>
      <c r="AH70" s="19">
        <f t="shared" si="15"/>
        <v>0</v>
      </c>
    </row>
    <row r="71">
      <c r="A71" s="16" t="s">
        <v>70</v>
      </c>
      <c r="B71" s="27">
        <f t="shared" si="14"/>
        <v>0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0.0</v>
      </c>
      <c r="K71" s="20">
        <v>0.0</v>
      </c>
      <c r="L71" s="20">
        <v>0.0</v>
      </c>
      <c r="M71" s="20">
        <v>0.0</v>
      </c>
      <c r="N71" s="20">
        <v>0.0</v>
      </c>
      <c r="O71" s="20">
        <v>0.0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20">
        <v>0.0</v>
      </c>
      <c r="AF71" s="20">
        <v>0.0</v>
      </c>
      <c r="AG71" s="20">
        <v>0.0</v>
      </c>
      <c r="AH71" s="19">
        <f t="shared" si="15"/>
        <v>0</v>
      </c>
    </row>
    <row r="72">
      <c r="A72" s="16" t="s">
        <v>71</v>
      </c>
      <c r="B72" s="27">
        <f t="shared" si="14"/>
        <v>0</v>
      </c>
      <c r="C72" s="20">
        <v>0.0</v>
      </c>
      <c r="D72" s="20">
        <v>0.0</v>
      </c>
      <c r="E72" s="20">
        <v>0.0</v>
      </c>
      <c r="F72" s="20">
        <v>0.0</v>
      </c>
      <c r="G72" s="20">
        <v>0.0</v>
      </c>
      <c r="H72" s="20">
        <v>0.0</v>
      </c>
      <c r="I72" s="20">
        <v>0.0</v>
      </c>
      <c r="J72" s="20">
        <v>0.0</v>
      </c>
      <c r="K72" s="20">
        <v>0.0</v>
      </c>
      <c r="L72" s="20">
        <v>0.0</v>
      </c>
      <c r="M72" s="20">
        <v>0.0</v>
      </c>
      <c r="N72" s="20">
        <v>0.0</v>
      </c>
      <c r="O72" s="20">
        <v>0.0</v>
      </c>
      <c r="P72" s="20">
        <v>0.0</v>
      </c>
      <c r="Q72" s="20">
        <v>0.0</v>
      </c>
      <c r="R72" s="20">
        <v>0.0</v>
      </c>
      <c r="S72" s="20">
        <v>0.0</v>
      </c>
      <c r="T72" s="20">
        <v>0.0</v>
      </c>
      <c r="U72" s="20">
        <v>0.0</v>
      </c>
      <c r="V72" s="20">
        <v>0.0</v>
      </c>
      <c r="W72" s="20">
        <v>0.0</v>
      </c>
      <c r="X72" s="20">
        <v>0.0</v>
      </c>
      <c r="Y72" s="20">
        <v>0.0</v>
      </c>
      <c r="Z72" s="20">
        <v>0.0</v>
      </c>
      <c r="AA72" s="20">
        <v>0.0</v>
      </c>
      <c r="AB72" s="20">
        <v>0.0</v>
      </c>
      <c r="AC72" s="20">
        <v>0.0</v>
      </c>
      <c r="AD72" s="20">
        <v>0.0</v>
      </c>
      <c r="AE72" s="20">
        <v>0.0</v>
      </c>
      <c r="AF72" s="20">
        <v>0.0</v>
      </c>
      <c r="AG72" s="20">
        <v>0.0</v>
      </c>
      <c r="AH72" s="19">
        <f t="shared" si="15"/>
        <v>0</v>
      </c>
    </row>
    <row r="73">
      <c r="A73" s="7" t="s">
        <v>72</v>
      </c>
      <c r="B73" s="27">
        <f t="shared" si="14"/>
        <v>0.01624279294</v>
      </c>
      <c r="C73" s="20">
        <v>0.0</v>
      </c>
      <c r="D73" s="20">
        <v>0.0</v>
      </c>
      <c r="E73" s="20">
        <v>0.0</v>
      </c>
      <c r="F73" s="20">
        <v>0.0</v>
      </c>
      <c r="G73" s="20">
        <v>0.0</v>
      </c>
      <c r="H73" s="20">
        <v>0.0</v>
      </c>
      <c r="I73" s="20">
        <v>0.0</v>
      </c>
      <c r="J73" s="20">
        <v>0.0</v>
      </c>
      <c r="K73" s="20">
        <v>0.0</v>
      </c>
      <c r="L73" s="20">
        <v>0.0</v>
      </c>
      <c r="M73" s="20">
        <v>0.0</v>
      </c>
      <c r="N73" s="20">
        <v>0.0</v>
      </c>
      <c r="O73" s="20">
        <v>0.0</v>
      </c>
      <c r="P73" s="20">
        <v>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  <c r="V73" s="20">
        <v>0.0</v>
      </c>
      <c r="W73" s="20">
        <v>0.0</v>
      </c>
      <c r="X73" s="20">
        <v>0.0</v>
      </c>
      <c r="Y73" s="20">
        <v>0.0</v>
      </c>
      <c r="Z73" s="20">
        <v>0.0</v>
      </c>
      <c r="AA73" s="20">
        <v>0.0</v>
      </c>
      <c r="AB73" s="20">
        <v>0.0</v>
      </c>
      <c r="AC73" s="20">
        <v>0.0</v>
      </c>
      <c r="AD73" s="20">
        <v>0.0</v>
      </c>
      <c r="AE73" s="20">
        <v>0.0</v>
      </c>
      <c r="AF73" s="20">
        <v>0.0</v>
      </c>
      <c r="AG73" s="17">
        <v>600000.0</v>
      </c>
      <c r="AH73" s="19">
        <f t="shared" si="15"/>
        <v>600000</v>
      </c>
    </row>
    <row r="74">
      <c r="A74" s="39" t="s">
        <v>73</v>
      </c>
      <c r="B74" s="27">
        <f t="shared" si="14"/>
        <v>0.0002298355201</v>
      </c>
      <c r="C74" s="20">
        <v>0.0</v>
      </c>
      <c r="D74" s="20">
        <v>0.0</v>
      </c>
      <c r="E74" s="20">
        <v>0.0</v>
      </c>
      <c r="F74" s="20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0">
        <v>0.0</v>
      </c>
      <c r="M74" s="20">
        <v>0.0</v>
      </c>
      <c r="N74" s="20">
        <v>0.0</v>
      </c>
      <c r="O74" s="20">
        <v>0.0</v>
      </c>
      <c r="P74" s="20">
        <v>0.0</v>
      </c>
      <c r="Q74" s="20">
        <v>0.0</v>
      </c>
      <c r="R74" s="20">
        <v>0.0</v>
      </c>
      <c r="S74" s="20">
        <v>0.0</v>
      </c>
      <c r="T74" s="20">
        <v>0.0</v>
      </c>
      <c r="U74" s="20">
        <v>0.0</v>
      </c>
      <c r="V74" s="20">
        <v>0.0</v>
      </c>
      <c r="W74" s="20">
        <v>0.0</v>
      </c>
      <c r="X74" s="20">
        <v>0.0</v>
      </c>
      <c r="Y74" s="20">
        <v>0.0</v>
      </c>
      <c r="Z74" s="20">
        <v>0.0</v>
      </c>
      <c r="AA74" s="20">
        <v>0.0</v>
      </c>
      <c r="AB74" s="20">
        <v>0.0</v>
      </c>
      <c r="AC74" s="17">
        <v>8490.0</v>
      </c>
      <c r="AD74" s="20">
        <v>0.0</v>
      </c>
      <c r="AE74" s="20">
        <v>0.0</v>
      </c>
      <c r="AF74" s="20">
        <v>0.0</v>
      </c>
      <c r="AG74" s="20">
        <v>0.0</v>
      </c>
      <c r="AH74" s="19">
        <f t="shared" si="15"/>
        <v>8490</v>
      </c>
    </row>
    <row r="75">
      <c r="A75" s="7"/>
      <c r="B75" s="8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>
      <c r="A76" s="40" t="s">
        <v>74</v>
      </c>
      <c r="B76" s="32">
        <f t="shared" ref="B76:B80" si="18">AH76/$AH$10</f>
        <v>0.08933536116</v>
      </c>
      <c r="C76" s="41">
        <f t="shared" ref="C76:M76" si="16">sum(C77:C79)</f>
        <v>0</v>
      </c>
      <c r="D76" s="41">
        <f t="shared" si="16"/>
        <v>0</v>
      </c>
      <c r="E76" s="41">
        <f t="shared" si="16"/>
        <v>0</v>
      </c>
      <c r="F76" s="41">
        <f t="shared" si="16"/>
        <v>0</v>
      </c>
      <c r="G76" s="41">
        <f t="shared" si="16"/>
        <v>0</v>
      </c>
      <c r="H76" s="41">
        <f t="shared" si="16"/>
        <v>0</v>
      </c>
      <c r="I76" s="41">
        <f t="shared" si="16"/>
        <v>0</v>
      </c>
      <c r="J76" s="41">
        <f t="shared" si="16"/>
        <v>0</v>
      </c>
      <c r="K76" s="41">
        <f t="shared" si="16"/>
        <v>0</v>
      </c>
      <c r="L76" s="41">
        <f t="shared" si="16"/>
        <v>0</v>
      </c>
      <c r="M76" s="41">
        <f t="shared" si="16"/>
        <v>0</v>
      </c>
      <c r="N76" s="41">
        <f>sum(N77:N80)</f>
        <v>1000000</v>
      </c>
      <c r="O76" s="41">
        <f>sum(O77:O79)</f>
        <v>0</v>
      </c>
      <c r="P76" s="41">
        <f>sum(P77:P80)</f>
        <v>2300000</v>
      </c>
      <c r="Q76" s="41">
        <f t="shared" ref="Q76:AG76" si="17">sum(Q77:Q79)</f>
        <v>0</v>
      </c>
      <c r="R76" s="41">
        <f t="shared" si="17"/>
        <v>0</v>
      </c>
      <c r="S76" s="41">
        <f t="shared" si="17"/>
        <v>0</v>
      </c>
      <c r="T76" s="41">
        <f t="shared" si="17"/>
        <v>0</v>
      </c>
      <c r="U76" s="41">
        <f t="shared" si="17"/>
        <v>0</v>
      </c>
      <c r="V76" s="41">
        <f t="shared" si="17"/>
        <v>0</v>
      </c>
      <c r="W76" s="41">
        <f t="shared" si="17"/>
        <v>0</v>
      </c>
      <c r="X76" s="41">
        <f t="shared" si="17"/>
        <v>0</v>
      </c>
      <c r="Y76" s="41">
        <f t="shared" si="17"/>
        <v>0</v>
      </c>
      <c r="Z76" s="41">
        <f t="shared" si="17"/>
        <v>0</v>
      </c>
      <c r="AA76" s="41">
        <f t="shared" si="17"/>
        <v>0</v>
      </c>
      <c r="AB76" s="41">
        <f t="shared" si="17"/>
        <v>0</v>
      </c>
      <c r="AC76" s="41">
        <f t="shared" si="17"/>
        <v>0</v>
      </c>
      <c r="AD76" s="41">
        <f t="shared" si="17"/>
        <v>0</v>
      </c>
      <c r="AE76" s="41">
        <f t="shared" si="17"/>
        <v>0</v>
      </c>
      <c r="AF76" s="41">
        <f t="shared" si="17"/>
        <v>0</v>
      </c>
      <c r="AG76" s="41">
        <f t="shared" si="17"/>
        <v>0</v>
      </c>
      <c r="AH76" s="34">
        <f>sum(AH77:AH80)</f>
        <v>3300000</v>
      </c>
    </row>
    <row r="77">
      <c r="A77" s="16" t="s">
        <v>75</v>
      </c>
      <c r="B77" s="27">
        <f t="shared" si="18"/>
        <v>0</v>
      </c>
      <c r="C77" s="20">
        <v>0.0</v>
      </c>
      <c r="D77" s="20">
        <v>0.0</v>
      </c>
      <c r="E77" s="20">
        <v>0.0</v>
      </c>
      <c r="F77" s="20">
        <v>0.0</v>
      </c>
      <c r="G77" s="20">
        <v>0.0</v>
      </c>
      <c r="H77" s="20">
        <v>0.0</v>
      </c>
      <c r="I77" s="20">
        <v>0.0</v>
      </c>
      <c r="J77" s="20">
        <v>0.0</v>
      </c>
      <c r="K77" s="20">
        <v>0.0</v>
      </c>
      <c r="L77" s="20">
        <v>0.0</v>
      </c>
      <c r="M77" s="20">
        <v>0.0</v>
      </c>
      <c r="N77" s="20">
        <v>0.0</v>
      </c>
      <c r="O77" s="20">
        <v>0.0</v>
      </c>
      <c r="P77" s="20">
        <v>0.0</v>
      </c>
      <c r="Q77" s="20">
        <v>0.0</v>
      </c>
      <c r="R77" s="20">
        <v>0.0</v>
      </c>
      <c r="S77" s="20">
        <v>0.0</v>
      </c>
      <c r="T77" s="20">
        <v>0.0</v>
      </c>
      <c r="U77" s="20">
        <v>0.0</v>
      </c>
      <c r="V77" s="20">
        <v>0.0</v>
      </c>
      <c r="W77" s="20">
        <v>0.0</v>
      </c>
      <c r="X77" s="20">
        <v>0.0</v>
      </c>
      <c r="Y77" s="20">
        <v>0.0</v>
      </c>
      <c r="Z77" s="20">
        <v>0.0</v>
      </c>
      <c r="AA77" s="20">
        <v>0.0</v>
      </c>
      <c r="AB77" s="20">
        <v>0.0</v>
      </c>
      <c r="AC77" s="20">
        <v>0.0</v>
      </c>
      <c r="AD77" s="20">
        <v>0.0</v>
      </c>
      <c r="AE77" s="20">
        <v>0.0</v>
      </c>
      <c r="AF77" s="20">
        <v>0.0</v>
      </c>
      <c r="AG77" s="20">
        <v>0.0</v>
      </c>
      <c r="AH77" s="19">
        <f t="shared" ref="AH77:AH80" si="19">SUM(C77:AG77)</f>
        <v>0</v>
      </c>
    </row>
    <row r="78">
      <c r="A78" s="16" t="s">
        <v>76</v>
      </c>
      <c r="B78" s="27">
        <f t="shared" si="18"/>
        <v>0</v>
      </c>
      <c r="C78" s="20">
        <v>0.0</v>
      </c>
      <c r="D78" s="20">
        <v>0.0</v>
      </c>
      <c r="E78" s="20">
        <v>0.0</v>
      </c>
      <c r="F78" s="20">
        <v>0.0</v>
      </c>
      <c r="G78" s="20">
        <v>0.0</v>
      </c>
      <c r="H78" s="20">
        <v>0.0</v>
      </c>
      <c r="I78" s="20">
        <v>0.0</v>
      </c>
      <c r="J78" s="20">
        <v>0.0</v>
      </c>
      <c r="K78" s="20">
        <v>0.0</v>
      </c>
      <c r="L78" s="20">
        <v>0.0</v>
      </c>
      <c r="M78" s="20">
        <v>0.0</v>
      </c>
      <c r="N78" s="20">
        <v>0.0</v>
      </c>
      <c r="O78" s="20">
        <v>0.0</v>
      </c>
      <c r="P78" s="20">
        <v>0.0</v>
      </c>
      <c r="Q78" s="20">
        <v>0.0</v>
      </c>
      <c r="R78" s="20">
        <v>0.0</v>
      </c>
      <c r="S78" s="20">
        <v>0.0</v>
      </c>
      <c r="T78" s="20">
        <v>0.0</v>
      </c>
      <c r="U78" s="20">
        <v>0.0</v>
      </c>
      <c r="V78" s="20">
        <v>0.0</v>
      </c>
      <c r="W78" s="20">
        <v>0.0</v>
      </c>
      <c r="X78" s="20">
        <v>0.0</v>
      </c>
      <c r="Y78" s="20">
        <v>0.0</v>
      </c>
      <c r="Z78" s="20">
        <v>0.0</v>
      </c>
      <c r="AA78" s="20">
        <v>0.0</v>
      </c>
      <c r="AB78" s="20">
        <v>0.0</v>
      </c>
      <c r="AC78" s="20">
        <v>0.0</v>
      </c>
      <c r="AD78" s="20">
        <v>0.0</v>
      </c>
      <c r="AE78" s="20">
        <v>0.0</v>
      </c>
      <c r="AF78" s="20">
        <v>0.0</v>
      </c>
      <c r="AG78" s="20">
        <v>0.0</v>
      </c>
      <c r="AH78" s="19">
        <f t="shared" si="19"/>
        <v>0</v>
      </c>
    </row>
    <row r="79">
      <c r="A79" s="16" t="s">
        <v>77</v>
      </c>
      <c r="B79" s="27">
        <f t="shared" si="18"/>
        <v>0</v>
      </c>
      <c r="C79" s="20">
        <v>0.0</v>
      </c>
      <c r="D79" s="20">
        <v>0.0</v>
      </c>
      <c r="E79" s="20">
        <v>0.0</v>
      </c>
      <c r="F79" s="20">
        <v>0.0</v>
      </c>
      <c r="G79" s="20">
        <v>0.0</v>
      </c>
      <c r="H79" s="20">
        <v>0.0</v>
      </c>
      <c r="I79" s="20">
        <v>0.0</v>
      </c>
      <c r="J79" s="20">
        <v>0.0</v>
      </c>
      <c r="K79" s="20">
        <v>0.0</v>
      </c>
      <c r="L79" s="20">
        <v>0.0</v>
      </c>
      <c r="M79" s="20">
        <v>0.0</v>
      </c>
      <c r="N79" s="20">
        <v>0.0</v>
      </c>
      <c r="O79" s="20">
        <v>0.0</v>
      </c>
      <c r="P79" s="20">
        <v>0.0</v>
      </c>
      <c r="Q79" s="20">
        <v>0.0</v>
      </c>
      <c r="R79" s="20">
        <v>0.0</v>
      </c>
      <c r="S79" s="20">
        <v>0.0</v>
      </c>
      <c r="T79" s="20">
        <v>0.0</v>
      </c>
      <c r="U79" s="20">
        <v>0.0</v>
      </c>
      <c r="V79" s="20">
        <v>0.0</v>
      </c>
      <c r="W79" s="20">
        <v>0.0</v>
      </c>
      <c r="X79" s="20">
        <v>0.0</v>
      </c>
      <c r="Y79" s="20">
        <v>0.0</v>
      </c>
      <c r="Z79" s="20">
        <v>0.0</v>
      </c>
      <c r="AA79" s="20">
        <v>0.0</v>
      </c>
      <c r="AB79" s="20">
        <v>0.0</v>
      </c>
      <c r="AC79" s="20">
        <v>0.0</v>
      </c>
      <c r="AD79" s="20">
        <v>0.0</v>
      </c>
      <c r="AE79" s="20">
        <v>0.0</v>
      </c>
      <c r="AF79" s="20">
        <v>0.0</v>
      </c>
      <c r="AG79" s="20">
        <v>0.0</v>
      </c>
      <c r="AH79" s="19">
        <f t="shared" si="19"/>
        <v>0</v>
      </c>
    </row>
    <row r="80">
      <c r="A80" s="39" t="s">
        <v>78</v>
      </c>
      <c r="B80" s="27">
        <f t="shared" si="18"/>
        <v>0.08933536116</v>
      </c>
      <c r="C80" s="20">
        <v>0.0</v>
      </c>
      <c r="D80" s="20">
        <v>0.0</v>
      </c>
      <c r="E80" s="20">
        <v>0.0</v>
      </c>
      <c r="F80" s="20">
        <v>0.0</v>
      </c>
      <c r="G80" s="20">
        <v>0.0</v>
      </c>
      <c r="H80" s="20">
        <v>0.0</v>
      </c>
      <c r="I80" s="20">
        <v>0.0</v>
      </c>
      <c r="J80" s="20">
        <v>0.0</v>
      </c>
      <c r="K80" s="20">
        <v>0.0</v>
      </c>
      <c r="L80" s="20">
        <v>0.0</v>
      </c>
      <c r="M80" s="20">
        <v>0.0</v>
      </c>
      <c r="N80" s="17">
        <v>1000000.0</v>
      </c>
      <c r="O80" s="20">
        <v>0.0</v>
      </c>
      <c r="P80" s="17">
        <v>2300000.0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  <c r="V80" s="20">
        <v>0.0</v>
      </c>
      <c r="W80" s="20">
        <v>0.0</v>
      </c>
      <c r="X80" s="20">
        <v>0.0</v>
      </c>
      <c r="Y80" s="20">
        <v>0.0</v>
      </c>
      <c r="Z80" s="20">
        <v>0.0</v>
      </c>
      <c r="AA80" s="20">
        <v>0.0</v>
      </c>
      <c r="AB80" s="20">
        <v>0.0</v>
      </c>
      <c r="AC80" s="20">
        <v>0.0</v>
      </c>
      <c r="AD80" s="20">
        <v>0.0</v>
      </c>
      <c r="AE80" s="20">
        <v>0.0</v>
      </c>
      <c r="AF80" s="20">
        <v>0.0</v>
      </c>
      <c r="AG80" s="20">
        <v>0.0</v>
      </c>
      <c r="AH80" s="19">
        <f t="shared" si="19"/>
        <v>3300000</v>
      </c>
    </row>
    <row r="81">
      <c r="A81" s="39"/>
      <c r="B81" s="27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>
      <c r="A82" s="42" t="s">
        <v>79</v>
      </c>
      <c r="B82" s="43">
        <f t="shared" ref="B82:B86" si="21">AH82/$AH$10</f>
        <v>0.10506342</v>
      </c>
      <c r="C82" s="44">
        <f t="shared" ref="C82:AH82" si="20">sum(C83:C86)</f>
        <v>0</v>
      </c>
      <c r="D82" s="44">
        <f t="shared" si="20"/>
        <v>499779</v>
      </c>
      <c r="E82" s="44">
        <f t="shared" si="20"/>
        <v>286800</v>
      </c>
      <c r="F82" s="44">
        <f t="shared" si="20"/>
        <v>0</v>
      </c>
      <c r="G82" s="44">
        <f t="shared" si="20"/>
        <v>0</v>
      </c>
      <c r="H82" s="44">
        <f t="shared" si="20"/>
        <v>141567</v>
      </c>
      <c r="I82" s="44">
        <f t="shared" si="20"/>
        <v>0</v>
      </c>
      <c r="J82" s="44">
        <f t="shared" si="20"/>
        <v>0</v>
      </c>
      <c r="K82" s="44">
        <f t="shared" si="20"/>
        <v>506430</v>
      </c>
      <c r="L82" s="44">
        <f t="shared" si="20"/>
        <v>0</v>
      </c>
      <c r="M82" s="44">
        <f t="shared" si="20"/>
        <v>230800</v>
      </c>
      <c r="N82" s="44">
        <f t="shared" si="20"/>
        <v>0</v>
      </c>
      <c r="O82" s="44">
        <f t="shared" si="20"/>
        <v>192127</v>
      </c>
      <c r="P82" s="44">
        <f t="shared" si="20"/>
        <v>0</v>
      </c>
      <c r="Q82" s="44">
        <f t="shared" si="20"/>
        <v>0</v>
      </c>
      <c r="R82" s="44">
        <f t="shared" si="20"/>
        <v>482637</v>
      </c>
      <c r="S82" s="44">
        <f t="shared" si="20"/>
        <v>374911</v>
      </c>
      <c r="T82" s="44">
        <f t="shared" si="20"/>
        <v>0</v>
      </c>
      <c r="U82" s="44">
        <f t="shared" si="20"/>
        <v>105000</v>
      </c>
      <c r="V82" s="44">
        <f t="shared" si="20"/>
        <v>0</v>
      </c>
      <c r="W82" s="44">
        <f t="shared" si="20"/>
        <v>0</v>
      </c>
      <c r="X82" s="44">
        <f t="shared" si="20"/>
        <v>0</v>
      </c>
      <c r="Y82" s="44">
        <f t="shared" si="20"/>
        <v>0</v>
      </c>
      <c r="Z82" s="44">
        <f t="shared" si="20"/>
        <v>610928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  <c r="AF82" s="44">
        <f t="shared" si="20"/>
        <v>450007</v>
      </c>
      <c r="AG82" s="44">
        <f t="shared" si="20"/>
        <v>0</v>
      </c>
      <c r="AH82" s="45">
        <f t="shared" si="20"/>
        <v>3880986</v>
      </c>
    </row>
    <row r="83">
      <c r="A83" s="16" t="s">
        <v>80</v>
      </c>
      <c r="B83" s="27">
        <f t="shared" si="21"/>
        <v>0.02084903244</v>
      </c>
      <c r="C83" s="20">
        <v>0.0</v>
      </c>
      <c r="D83" s="20">
        <v>0.0</v>
      </c>
      <c r="E83" s="20">
        <v>0.0</v>
      </c>
      <c r="F83" s="20">
        <v>0.0</v>
      </c>
      <c r="G83" s="20">
        <v>0.0</v>
      </c>
      <c r="H83" s="17">
        <v>141567.0</v>
      </c>
      <c r="I83" s="20">
        <v>0.0</v>
      </c>
      <c r="J83" s="20">
        <v>0.0</v>
      </c>
      <c r="K83" s="20">
        <v>0.0</v>
      </c>
      <c r="L83" s="20">
        <v>0.0</v>
      </c>
      <c r="M83" s="20">
        <v>0.0</v>
      </c>
      <c r="N83" s="20">
        <v>0.0</v>
      </c>
      <c r="O83" s="17">
        <v>192127.0</v>
      </c>
      <c r="P83" s="20">
        <v>0.0</v>
      </c>
      <c r="Q83" s="20">
        <v>0.0</v>
      </c>
      <c r="R83" s="20">
        <v>0.0</v>
      </c>
      <c r="S83" s="17">
        <v>213311.0</v>
      </c>
      <c r="T83" s="20">
        <v>0.0</v>
      </c>
      <c r="U83" s="20">
        <v>0.0</v>
      </c>
      <c r="V83" s="20">
        <v>0.0</v>
      </c>
      <c r="W83" s="20">
        <v>0.0</v>
      </c>
      <c r="X83" s="17">
        <v>0.0</v>
      </c>
      <c r="Y83" s="20">
        <v>0.0</v>
      </c>
      <c r="Z83" s="17">
        <v>223147.0</v>
      </c>
      <c r="AA83" s="20">
        <v>0.0</v>
      </c>
      <c r="AB83" s="20">
        <v>0.0</v>
      </c>
      <c r="AC83" s="20">
        <v>0.0</v>
      </c>
      <c r="AD83" s="20">
        <v>0.0</v>
      </c>
      <c r="AE83" s="20">
        <v>0.0</v>
      </c>
      <c r="AF83" s="20">
        <v>0.0</v>
      </c>
      <c r="AG83" s="20">
        <v>0.0</v>
      </c>
      <c r="AH83" s="19">
        <f t="shared" ref="AH83:AH86" si="22">SUM(C83:AG83)</f>
        <v>770152</v>
      </c>
    </row>
    <row r="84">
      <c r="A84" s="16" t="s">
        <v>81</v>
      </c>
      <c r="B84" s="27">
        <f t="shared" si="21"/>
        <v>0</v>
      </c>
      <c r="C84" s="20">
        <v>0.0</v>
      </c>
      <c r="D84" s="20">
        <v>0.0</v>
      </c>
      <c r="E84" s="20">
        <v>0.0</v>
      </c>
      <c r="F84" s="20">
        <v>0.0</v>
      </c>
      <c r="G84" s="20">
        <v>0.0</v>
      </c>
      <c r="H84" s="20">
        <v>0.0</v>
      </c>
      <c r="I84" s="20">
        <v>0.0</v>
      </c>
      <c r="J84" s="20">
        <v>0.0</v>
      </c>
      <c r="K84" s="20">
        <v>0.0</v>
      </c>
      <c r="L84" s="20">
        <v>0.0</v>
      </c>
      <c r="M84" s="20">
        <v>0.0</v>
      </c>
      <c r="N84" s="20">
        <v>0.0</v>
      </c>
      <c r="O84" s="20">
        <v>0.0</v>
      </c>
      <c r="P84" s="20">
        <v>0.0</v>
      </c>
      <c r="Q84" s="20">
        <v>0.0</v>
      </c>
      <c r="R84" s="20">
        <v>0.0</v>
      </c>
      <c r="S84" s="20">
        <v>0.0</v>
      </c>
      <c r="T84" s="20">
        <v>0.0</v>
      </c>
      <c r="U84" s="20">
        <v>0.0</v>
      </c>
      <c r="V84" s="20">
        <v>0.0</v>
      </c>
      <c r="W84" s="20">
        <v>0.0</v>
      </c>
      <c r="X84" s="20">
        <v>0.0</v>
      </c>
      <c r="Y84" s="20">
        <v>0.0</v>
      </c>
      <c r="Z84" s="20">
        <v>0.0</v>
      </c>
      <c r="AA84" s="20">
        <v>0.0</v>
      </c>
      <c r="AB84" s="20">
        <v>0.0</v>
      </c>
      <c r="AC84" s="20">
        <v>0.0</v>
      </c>
      <c r="AD84" s="20">
        <v>0.0</v>
      </c>
      <c r="AE84" s="20">
        <v>0.0</v>
      </c>
      <c r="AF84" s="20">
        <v>0.0</v>
      </c>
      <c r="AG84" s="20">
        <v>0.0</v>
      </c>
      <c r="AH84" s="19">
        <f t="shared" si="22"/>
        <v>0</v>
      </c>
    </row>
    <row r="85">
      <c r="A85" s="16" t="s">
        <v>82</v>
      </c>
      <c r="B85" s="27">
        <f t="shared" si="21"/>
        <v>0.02122933037</v>
      </c>
      <c r="C85" s="20">
        <v>0.0</v>
      </c>
      <c r="D85" s="20">
        <v>0.0</v>
      </c>
      <c r="E85" s="17">
        <v>286800.0</v>
      </c>
      <c r="F85" s="20">
        <v>0.0</v>
      </c>
      <c r="G85" s="20">
        <v>0.0</v>
      </c>
      <c r="H85" s="20">
        <v>0.0</v>
      </c>
      <c r="I85" s="20">
        <v>0.0</v>
      </c>
      <c r="J85" s="20">
        <v>0.0</v>
      </c>
      <c r="K85" s="20">
        <v>0.0</v>
      </c>
      <c r="L85" s="20">
        <v>0.0</v>
      </c>
      <c r="M85" s="17">
        <v>230800.0</v>
      </c>
      <c r="N85" s="20">
        <v>0.0</v>
      </c>
      <c r="O85" s="20">
        <v>0.0</v>
      </c>
      <c r="P85" s="20">
        <v>0.0</v>
      </c>
      <c r="Q85" s="20">
        <v>0.0</v>
      </c>
      <c r="R85" s="20">
        <v>0.0</v>
      </c>
      <c r="S85" s="17">
        <f>38900+39900+49800+30000+3000</f>
        <v>161600</v>
      </c>
      <c r="T85" s="20">
        <v>0.0</v>
      </c>
      <c r="U85" s="17">
        <v>105000.0</v>
      </c>
      <c r="V85" s="20">
        <v>0.0</v>
      </c>
      <c r="W85" s="20">
        <v>0.0</v>
      </c>
      <c r="X85" s="20">
        <v>0.0</v>
      </c>
      <c r="Y85" s="20">
        <v>0.0</v>
      </c>
      <c r="Z85" s="20">
        <v>0.0</v>
      </c>
      <c r="AA85" s="20">
        <v>0.0</v>
      </c>
      <c r="AB85" s="20">
        <v>0.0</v>
      </c>
      <c r="AC85" s="20">
        <v>0.0</v>
      </c>
      <c r="AD85" s="20">
        <v>0.0</v>
      </c>
      <c r="AE85" s="20">
        <v>0.0</v>
      </c>
      <c r="AF85" s="20">
        <v>0.0</v>
      </c>
      <c r="AG85" s="20">
        <v>0.0</v>
      </c>
      <c r="AH85" s="19">
        <f t="shared" si="22"/>
        <v>784200</v>
      </c>
    </row>
    <row r="86">
      <c r="A86" s="16" t="s">
        <v>83</v>
      </c>
      <c r="B86" s="27">
        <f t="shared" si="21"/>
        <v>0.06298505717</v>
      </c>
      <c r="C86" s="20">
        <v>0.0</v>
      </c>
      <c r="D86" s="17">
        <v>499779.0</v>
      </c>
      <c r="E86" s="20">
        <v>0.0</v>
      </c>
      <c r="F86" s="20">
        <v>0.0</v>
      </c>
      <c r="G86" s="20">
        <v>0.0</v>
      </c>
      <c r="H86" s="20">
        <v>0.0</v>
      </c>
      <c r="I86" s="20">
        <v>0.0</v>
      </c>
      <c r="J86" s="20">
        <v>0.0</v>
      </c>
      <c r="K86" s="17">
        <v>506430.0</v>
      </c>
      <c r="L86" s="20">
        <v>0.0</v>
      </c>
      <c r="M86" s="20">
        <v>0.0</v>
      </c>
      <c r="N86" s="20">
        <v>0.0</v>
      </c>
      <c r="O86" s="20">
        <v>0.0</v>
      </c>
      <c r="P86" s="20">
        <v>0.0</v>
      </c>
      <c r="Q86" s="20">
        <v>0.0</v>
      </c>
      <c r="R86" s="17">
        <v>482637.0</v>
      </c>
      <c r="S86" s="20">
        <v>0.0</v>
      </c>
      <c r="T86" s="20">
        <v>0.0</v>
      </c>
      <c r="U86" s="20">
        <v>0.0</v>
      </c>
      <c r="V86" s="20">
        <v>0.0</v>
      </c>
      <c r="W86" s="20">
        <v>0.0</v>
      </c>
      <c r="X86" s="17">
        <v>0.0</v>
      </c>
      <c r="Y86" s="20">
        <v>0.0</v>
      </c>
      <c r="Z86" s="17">
        <v>387781.0</v>
      </c>
      <c r="AA86" s="20">
        <v>0.0</v>
      </c>
      <c r="AB86" s="20">
        <v>0.0</v>
      </c>
      <c r="AC86" s="20">
        <v>0.0</v>
      </c>
      <c r="AD86" s="20">
        <v>0.0</v>
      </c>
      <c r="AE86" s="20">
        <v>0.0</v>
      </c>
      <c r="AF86" s="17">
        <v>450007.0</v>
      </c>
      <c r="AG86" s="20">
        <v>0.0</v>
      </c>
      <c r="AH86" s="19">
        <f t="shared" si="22"/>
        <v>2326634</v>
      </c>
    </row>
    <row r="87">
      <c r="A87" s="7"/>
      <c r="B87" s="8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>
      <c r="A88" s="47" t="s">
        <v>84</v>
      </c>
      <c r="B88" s="48">
        <f t="shared" ref="B88:B97" si="24">AH88/$AH$10</f>
        <v>0.3036178926</v>
      </c>
      <c r="C88" s="49">
        <f t="shared" ref="C88:AG88" si="23">sum(C89:C97)</f>
        <v>214500</v>
      </c>
      <c r="D88" s="49">
        <f t="shared" si="23"/>
        <v>0</v>
      </c>
      <c r="E88" s="49">
        <f t="shared" si="23"/>
        <v>163000</v>
      </c>
      <c r="F88" s="49">
        <f t="shared" si="23"/>
        <v>277750</v>
      </c>
      <c r="G88" s="49">
        <f t="shared" si="23"/>
        <v>824125</v>
      </c>
      <c r="H88" s="49">
        <f t="shared" si="23"/>
        <v>0</v>
      </c>
      <c r="I88" s="49">
        <f t="shared" si="23"/>
        <v>0</v>
      </c>
      <c r="J88" s="49">
        <f t="shared" si="23"/>
        <v>0</v>
      </c>
      <c r="K88" s="49">
        <f t="shared" si="23"/>
        <v>20000</v>
      </c>
      <c r="L88" s="49">
        <f t="shared" si="23"/>
        <v>0</v>
      </c>
      <c r="M88" s="49">
        <f t="shared" si="23"/>
        <v>1921077</v>
      </c>
      <c r="N88" s="49">
        <f t="shared" si="23"/>
        <v>0</v>
      </c>
      <c r="O88" s="49">
        <f t="shared" si="23"/>
        <v>0</v>
      </c>
      <c r="P88" s="49">
        <f t="shared" si="23"/>
        <v>0</v>
      </c>
      <c r="Q88" s="49">
        <f t="shared" si="23"/>
        <v>1050000</v>
      </c>
      <c r="R88" s="49">
        <f t="shared" si="23"/>
        <v>0</v>
      </c>
      <c r="S88" s="49">
        <f t="shared" si="23"/>
        <v>32000</v>
      </c>
      <c r="T88" s="49">
        <f t="shared" si="23"/>
        <v>0</v>
      </c>
      <c r="U88" s="49">
        <f t="shared" si="23"/>
        <v>2080</v>
      </c>
      <c r="V88" s="49">
        <f t="shared" si="23"/>
        <v>0</v>
      </c>
      <c r="W88" s="49">
        <f t="shared" si="23"/>
        <v>0</v>
      </c>
      <c r="X88" s="49">
        <f t="shared" si="23"/>
        <v>0</v>
      </c>
      <c r="Y88" s="49">
        <f t="shared" si="23"/>
        <v>0</v>
      </c>
      <c r="Z88" s="49">
        <f t="shared" si="23"/>
        <v>0</v>
      </c>
      <c r="AA88" s="49">
        <f t="shared" si="23"/>
        <v>0</v>
      </c>
      <c r="AB88" s="49">
        <f t="shared" si="23"/>
        <v>0</v>
      </c>
      <c r="AC88" s="49">
        <f t="shared" si="23"/>
        <v>20000</v>
      </c>
      <c r="AD88" s="49">
        <f t="shared" si="23"/>
        <v>0</v>
      </c>
      <c r="AE88" s="49">
        <f t="shared" si="23"/>
        <v>0</v>
      </c>
      <c r="AF88" s="49">
        <f t="shared" si="23"/>
        <v>0</v>
      </c>
      <c r="AG88" s="49">
        <f t="shared" si="23"/>
        <v>6690949</v>
      </c>
      <c r="AH88" s="50">
        <f>SUM(AH89:AH97)</f>
        <v>11215481</v>
      </c>
    </row>
    <row r="89">
      <c r="A89" s="16" t="s">
        <v>85</v>
      </c>
      <c r="B89" s="27">
        <f t="shared" si="24"/>
        <v>0</v>
      </c>
      <c r="C89" s="20">
        <v>0.0</v>
      </c>
      <c r="D89" s="20">
        <v>0.0</v>
      </c>
      <c r="E89" s="20">
        <v>0.0</v>
      </c>
      <c r="F89" s="20">
        <v>0.0</v>
      </c>
      <c r="G89" s="20">
        <v>0.0</v>
      </c>
      <c r="H89" s="20">
        <v>0.0</v>
      </c>
      <c r="I89" s="20">
        <v>0.0</v>
      </c>
      <c r="J89" s="20">
        <v>0.0</v>
      </c>
      <c r="K89" s="20">
        <v>0.0</v>
      </c>
      <c r="L89" s="20">
        <v>0.0</v>
      </c>
      <c r="M89" s="20">
        <v>0.0</v>
      </c>
      <c r="N89" s="20">
        <v>0.0</v>
      </c>
      <c r="O89" s="20">
        <v>0.0</v>
      </c>
      <c r="P89" s="20">
        <v>0.0</v>
      </c>
      <c r="Q89" s="20">
        <v>0.0</v>
      </c>
      <c r="R89" s="20">
        <v>0.0</v>
      </c>
      <c r="S89" s="20">
        <v>0.0</v>
      </c>
      <c r="T89" s="20">
        <v>0.0</v>
      </c>
      <c r="U89" s="20">
        <v>0.0</v>
      </c>
      <c r="V89" s="20">
        <v>0.0</v>
      </c>
      <c r="W89" s="20">
        <v>0.0</v>
      </c>
      <c r="X89" s="20">
        <v>0.0</v>
      </c>
      <c r="Y89" s="20">
        <v>0.0</v>
      </c>
      <c r="Z89" s="20">
        <v>0.0</v>
      </c>
      <c r="AA89" s="20">
        <v>0.0</v>
      </c>
      <c r="AB89" s="20">
        <v>0.0</v>
      </c>
      <c r="AC89" s="20">
        <v>0.0</v>
      </c>
      <c r="AD89" s="20">
        <v>0.0</v>
      </c>
      <c r="AE89" s="20">
        <v>0.0</v>
      </c>
      <c r="AF89" s="20">
        <v>0.0</v>
      </c>
      <c r="AG89" s="20">
        <v>0.0</v>
      </c>
      <c r="AH89" s="19">
        <f t="shared" ref="AH89:AH97" si="25">SUM(C89:AG89)</f>
        <v>0</v>
      </c>
    </row>
    <row r="90">
      <c r="A90" s="16" t="s">
        <v>86</v>
      </c>
      <c r="B90" s="27">
        <f t="shared" si="24"/>
        <v>0.2394072355</v>
      </c>
      <c r="C90" s="17">
        <v>162500.0</v>
      </c>
      <c r="D90" s="20">
        <v>0.0</v>
      </c>
      <c r="E90" s="17">
        <v>56000.0</v>
      </c>
      <c r="F90" s="20">
        <v>0.0</v>
      </c>
      <c r="G90" s="17">
        <v>824125.0</v>
      </c>
      <c r="H90" s="20">
        <v>0.0</v>
      </c>
      <c r="I90" s="20">
        <v>0.0</v>
      </c>
      <c r="J90" s="20">
        <v>0.0</v>
      </c>
      <c r="K90" s="20">
        <v>0.0</v>
      </c>
      <c r="L90" s="20">
        <v>0.0</v>
      </c>
      <c r="M90" s="17">
        <v>48000.0</v>
      </c>
      <c r="N90" s="20">
        <v>0.0</v>
      </c>
      <c r="O90" s="20">
        <v>0.0</v>
      </c>
      <c r="P90" s="20">
        <v>0.0</v>
      </c>
      <c r="Q90" s="20">
        <f>200000+200000+180000+150000+100000+200000</f>
        <v>1030000</v>
      </c>
      <c r="R90" s="20">
        <v>0.0</v>
      </c>
      <c r="S90" s="17">
        <v>32000.0</v>
      </c>
      <c r="T90" s="20">
        <v>0.0</v>
      </c>
      <c r="U90" s="20">
        <v>0.0</v>
      </c>
      <c r="V90" s="20">
        <v>0.0</v>
      </c>
      <c r="W90" s="20">
        <v>0.0</v>
      </c>
      <c r="X90" s="20">
        <v>0.0</v>
      </c>
      <c r="Y90" s="20">
        <v>0.0</v>
      </c>
      <c r="Z90" s="20">
        <v>0.0</v>
      </c>
      <c r="AA90" s="20">
        <v>0.0</v>
      </c>
      <c r="AB90" s="20">
        <v>0.0</v>
      </c>
      <c r="AC90" s="20">
        <v>0.0</v>
      </c>
      <c r="AD90" s="20">
        <v>0.0</v>
      </c>
      <c r="AE90" s="20">
        <v>0.0</v>
      </c>
      <c r="AF90" s="20">
        <v>0.0</v>
      </c>
      <c r="AG90" s="20">
        <f>800000+551265+401262+500000+800225+570000+600000+700000+611625+369072+380000+357500+50000</f>
        <v>6690949</v>
      </c>
      <c r="AH90" s="19">
        <f t="shared" si="25"/>
        <v>8843574</v>
      </c>
    </row>
    <row r="91">
      <c r="A91" s="16" t="s">
        <v>87</v>
      </c>
      <c r="B91" s="27">
        <f t="shared" si="24"/>
        <v>0.00005630834885</v>
      </c>
      <c r="C91" s="20">
        <v>0.0</v>
      </c>
      <c r="D91" s="20">
        <v>0.0</v>
      </c>
      <c r="E91" s="20">
        <v>0.0</v>
      </c>
      <c r="F91" s="20">
        <v>0.0</v>
      </c>
      <c r="G91" s="20">
        <v>0.0</v>
      </c>
      <c r="H91" s="20">
        <v>0.0</v>
      </c>
      <c r="I91" s="20">
        <v>0.0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  <c r="O91" s="20">
        <v>0.0</v>
      </c>
      <c r="P91" s="20">
        <v>0.0</v>
      </c>
      <c r="Q91" s="20">
        <v>0.0</v>
      </c>
      <c r="R91" s="20">
        <v>0.0</v>
      </c>
      <c r="S91" s="20">
        <v>0.0</v>
      </c>
      <c r="T91" s="20">
        <v>0.0</v>
      </c>
      <c r="U91" s="17">
        <v>2080.0</v>
      </c>
      <c r="V91" s="20">
        <v>0.0</v>
      </c>
      <c r="W91" s="20">
        <v>0.0</v>
      </c>
      <c r="X91" s="20">
        <v>0.0</v>
      </c>
      <c r="Y91" s="20">
        <v>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v>0.0</v>
      </c>
      <c r="AG91" s="20">
        <v>0.0</v>
      </c>
      <c r="AH91" s="19">
        <f t="shared" si="25"/>
        <v>2080</v>
      </c>
    </row>
    <row r="92">
      <c r="A92" s="16" t="s">
        <v>88</v>
      </c>
      <c r="B92" s="27">
        <f t="shared" si="24"/>
        <v>0.00484576656</v>
      </c>
      <c r="C92" s="17">
        <v>52000.0</v>
      </c>
      <c r="D92" s="20">
        <v>0.0</v>
      </c>
      <c r="E92" s="20">
        <f>20000+20000+22000+25000</f>
        <v>87000</v>
      </c>
      <c r="F92" s="20">
        <v>0.0</v>
      </c>
      <c r="G92" s="20">
        <v>0.0</v>
      </c>
      <c r="H92" s="20">
        <v>0.0</v>
      </c>
      <c r="I92" s="20">
        <v>0.0</v>
      </c>
      <c r="J92" s="20">
        <v>0.0</v>
      </c>
      <c r="K92" s="17">
        <v>20000.0</v>
      </c>
      <c r="L92" s="20">
        <v>0.0</v>
      </c>
      <c r="M92" s="20">
        <v>0.0</v>
      </c>
      <c r="N92" s="20">
        <v>0.0</v>
      </c>
      <c r="O92" s="20">
        <v>0.0</v>
      </c>
      <c r="P92" s="20">
        <v>0.0</v>
      </c>
      <c r="Q92" s="17">
        <v>20000.0</v>
      </c>
      <c r="R92" s="20">
        <v>0.0</v>
      </c>
      <c r="S92" s="20">
        <v>0.0</v>
      </c>
      <c r="T92" s="20">
        <v>0.0</v>
      </c>
      <c r="U92" s="20">
        <v>0.0</v>
      </c>
      <c r="V92" s="20">
        <v>0.0</v>
      </c>
      <c r="W92" s="20">
        <v>0.0</v>
      </c>
      <c r="X92" s="20">
        <v>0.0</v>
      </c>
      <c r="Y92" s="20">
        <v>0.0</v>
      </c>
      <c r="Z92" s="20">
        <v>0.0</v>
      </c>
      <c r="AA92" s="20">
        <v>0.0</v>
      </c>
      <c r="AB92" s="20">
        <v>0.0</v>
      </c>
      <c r="AC92" s="20">
        <v>0.0</v>
      </c>
      <c r="AD92" s="20">
        <v>0.0</v>
      </c>
      <c r="AE92" s="20">
        <v>0.0</v>
      </c>
      <c r="AF92" s="20">
        <v>0.0</v>
      </c>
      <c r="AG92" s="20">
        <v>0.0</v>
      </c>
      <c r="AH92" s="19">
        <f t="shared" si="25"/>
        <v>179000</v>
      </c>
    </row>
    <row r="93">
      <c r="A93" s="16" t="s">
        <v>89</v>
      </c>
      <c r="B93" s="27">
        <f t="shared" si="24"/>
        <v>0.007519059564</v>
      </c>
      <c r="C93" s="20">
        <v>0.0</v>
      </c>
      <c r="D93" s="20">
        <v>0.0</v>
      </c>
      <c r="E93" s="20">
        <v>0.0</v>
      </c>
      <c r="F93" s="20">
        <f>55550+55550+55550+55550+55550</f>
        <v>277750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  <c r="P93" s="20">
        <v>0.0</v>
      </c>
      <c r="Q93" s="20">
        <v>0.0</v>
      </c>
      <c r="R93" s="20">
        <v>0.0</v>
      </c>
      <c r="S93" s="20">
        <v>0.0</v>
      </c>
      <c r="T93" s="20">
        <v>0.0</v>
      </c>
      <c r="U93" s="20">
        <v>0.0</v>
      </c>
      <c r="V93" s="20">
        <v>0.0</v>
      </c>
      <c r="W93" s="20">
        <v>0.0</v>
      </c>
      <c r="X93" s="20">
        <v>0.0</v>
      </c>
      <c r="Y93" s="20">
        <v>0.0</v>
      </c>
      <c r="Z93" s="20">
        <v>0.0</v>
      </c>
      <c r="AA93" s="20">
        <v>0.0</v>
      </c>
      <c r="AB93" s="20">
        <v>0.0</v>
      </c>
      <c r="AC93" s="20">
        <v>0.0</v>
      </c>
      <c r="AD93" s="20">
        <v>0.0</v>
      </c>
      <c r="AE93" s="20">
        <v>0.0</v>
      </c>
      <c r="AF93" s="20">
        <v>0.0</v>
      </c>
      <c r="AG93" s="20">
        <v>0.0</v>
      </c>
      <c r="AH93" s="19">
        <f t="shared" si="25"/>
        <v>277750</v>
      </c>
    </row>
    <row r="94">
      <c r="A94" s="16" t="s">
        <v>90</v>
      </c>
      <c r="B94" s="27">
        <f t="shared" si="24"/>
        <v>0.05070666978</v>
      </c>
      <c r="C94" s="20">
        <v>0.0</v>
      </c>
      <c r="D94" s="20">
        <v>0.0</v>
      </c>
      <c r="E94" s="20">
        <v>0.0</v>
      </c>
      <c r="F94" s="20">
        <v>0.0</v>
      </c>
      <c r="G94" s="20">
        <v>0.0</v>
      </c>
      <c r="H94" s="20">
        <v>0.0</v>
      </c>
      <c r="I94" s="20">
        <v>0.0</v>
      </c>
      <c r="J94" s="20">
        <v>0.0</v>
      </c>
      <c r="K94" s="20">
        <v>0.0</v>
      </c>
      <c r="L94" s="20">
        <v>0.0</v>
      </c>
      <c r="M94" s="17">
        <v>1873077.0</v>
      </c>
      <c r="N94" s="20">
        <v>0.0</v>
      </c>
      <c r="O94" s="20">
        <v>0.0</v>
      </c>
      <c r="P94" s="20">
        <v>0.0</v>
      </c>
      <c r="Q94" s="20">
        <v>0.0</v>
      </c>
      <c r="R94" s="20">
        <v>0.0</v>
      </c>
      <c r="S94" s="20">
        <v>0.0</v>
      </c>
      <c r="T94" s="20">
        <v>0.0</v>
      </c>
      <c r="U94" s="20">
        <v>0.0</v>
      </c>
      <c r="V94" s="20">
        <v>0.0</v>
      </c>
      <c r="W94" s="20">
        <v>0.0</v>
      </c>
      <c r="X94" s="20">
        <v>0.0</v>
      </c>
      <c r="Y94" s="20">
        <v>0.0</v>
      </c>
      <c r="Z94" s="20">
        <v>0.0</v>
      </c>
      <c r="AA94" s="20">
        <v>0.0</v>
      </c>
      <c r="AB94" s="20">
        <v>0.0</v>
      </c>
      <c r="AC94" s="20">
        <v>0.0</v>
      </c>
      <c r="AD94" s="20">
        <v>0.0</v>
      </c>
      <c r="AE94" s="20">
        <v>0.0</v>
      </c>
      <c r="AF94" s="20">
        <v>0.0</v>
      </c>
      <c r="AG94" s="20">
        <v>0.0</v>
      </c>
      <c r="AH94" s="19">
        <f t="shared" si="25"/>
        <v>1873077</v>
      </c>
    </row>
    <row r="95">
      <c r="A95" s="16" t="s">
        <v>91</v>
      </c>
      <c r="B95" s="27">
        <f t="shared" si="24"/>
        <v>0</v>
      </c>
      <c r="C95" s="20">
        <v>0.0</v>
      </c>
      <c r="D95" s="20">
        <v>0.0</v>
      </c>
      <c r="E95" s="20">
        <v>0.0</v>
      </c>
      <c r="F95" s="20">
        <v>0.0</v>
      </c>
      <c r="G95" s="20">
        <v>0.0</v>
      </c>
      <c r="H95" s="20">
        <v>0.0</v>
      </c>
      <c r="I95" s="20">
        <v>0.0</v>
      </c>
      <c r="J95" s="20">
        <v>0.0</v>
      </c>
      <c r="K95" s="20">
        <v>0.0</v>
      </c>
      <c r="L95" s="20">
        <v>0.0</v>
      </c>
      <c r="M95" s="20">
        <v>0.0</v>
      </c>
      <c r="N95" s="20">
        <v>0.0</v>
      </c>
      <c r="O95" s="20">
        <v>0.0</v>
      </c>
      <c r="P95" s="20">
        <v>0.0</v>
      </c>
      <c r="Q95" s="20">
        <v>0.0</v>
      </c>
      <c r="R95" s="20">
        <v>0.0</v>
      </c>
      <c r="S95" s="20">
        <v>0.0</v>
      </c>
      <c r="T95" s="20">
        <v>0.0</v>
      </c>
      <c r="U95" s="20">
        <v>0.0</v>
      </c>
      <c r="V95" s="20">
        <v>0.0</v>
      </c>
      <c r="W95" s="20">
        <v>0.0</v>
      </c>
      <c r="X95" s="20">
        <v>0.0</v>
      </c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20">
        <v>0.0</v>
      </c>
      <c r="AF95" s="20">
        <v>0.0</v>
      </c>
      <c r="AG95" s="20">
        <v>0.0</v>
      </c>
      <c r="AH95" s="19">
        <f t="shared" si="25"/>
        <v>0</v>
      </c>
    </row>
    <row r="96">
      <c r="A96" s="16" t="s">
        <v>92</v>
      </c>
      <c r="B96" s="27">
        <f t="shared" si="24"/>
        <v>0</v>
      </c>
      <c r="C96" s="20">
        <v>0.0</v>
      </c>
      <c r="D96" s="20">
        <v>0.0</v>
      </c>
      <c r="E96" s="20">
        <v>0.0</v>
      </c>
      <c r="F96" s="20">
        <v>0.0</v>
      </c>
      <c r="G96" s="20">
        <v>0.0</v>
      </c>
      <c r="H96" s="20">
        <v>0.0</v>
      </c>
      <c r="I96" s="20">
        <v>0.0</v>
      </c>
      <c r="J96" s="20">
        <v>0.0</v>
      </c>
      <c r="K96" s="20">
        <v>0.0</v>
      </c>
      <c r="L96" s="20">
        <v>0.0</v>
      </c>
      <c r="M96" s="20">
        <v>0.0</v>
      </c>
      <c r="N96" s="20">
        <v>0.0</v>
      </c>
      <c r="O96" s="20">
        <v>0.0</v>
      </c>
      <c r="P96" s="20">
        <v>0.0</v>
      </c>
      <c r="Q96" s="20">
        <v>0.0</v>
      </c>
      <c r="R96" s="20">
        <v>0.0</v>
      </c>
      <c r="S96" s="20">
        <v>0.0</v>
      </c>
      <c r="T96" s="20">
        <v>0.0</v>
      </c>
      <c r="U96" s="17">
        <v>0.0</v>
      </c>
      <c r="V96" s="20">
        <v>0.0</v>
      </c>
      <c r="W96" s="20">
        <v>0.0</v>
      </c>
      <c r="X96" s="20">
        <v>0.0</v>
      </c>
      <c r="Y96" s="20">
        <v>0.0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20">
        <v>0.0</v>
      </c>
      <c r="AF96" s="20">
        <v>0.0</v>
      </c>
      <c r="AG96" s="20">
        <v>0.0</v>
      </c>
      <c r="AH96" s="19">
        <f t="shared" si="25"/>
        <v>0</v>
      </c>
    </row>
    <row r="97">
      <c r="A97" s="16" t="s">
        <v>93</v>
      </c>
      <c r="B97" s="27">
        <f t="shared" si="24"/>
        <v>0.001082852862</v>
      </c>
      <c r="C97" s="20">
        <v>0.0</v>
      </c>
      <c r="D97" s="20">
        <v>0.0</v>
      </c>
      <c r="E97" s="17">
        <v>20000.0</v>
      </c>
      <c r="F97" s="20">
        <v>0.0</v>
      </c>
      <c r="G97" s="20">
        <v>0.0</v>
      </c>
      <c r="H97" s="20">
        <v>0.0</v>
      </c>
      <c r="I97" s="20">
        <v>0.0</v>
      </c>
      <c r="J97" s="20">
        <v>0.0</v>
      </c>
      <c r="K97" s="20">
        <v>0.0</v>
      </c>
      <c r="L97" s="20">
        <v>0.0</v>
      </c>
      <c r="M97" s="20">
        <v>0.0</v>
      </c>
      <c r="N97" s="20">
        <v>0.0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20">
        <v>0.0</v>
      </c>
      <c r="W97" s="20">
        <v>0.0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17">
        <v>20000.0</v>
      </c>
      <c r="AD97" s="20">
        <v>0.0</v>
      </c>
      <c r="AE97" s="20">
        <v>0.0</v>
      </c>
      <c r="AF97" s="20">
        <v>0.0</v>
      </c>
      <c r="AG97" s="20">
        <v>0.0</v>
      </c>
      <c r="AH97" s="19">
        <f t="shared" si="25"/>
        <v>40000</v>
      </c>
    </row>
    <row r="98">
      <c r="A98" s="7"/>
      <c r="B98" s="8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>
      <c r="A99" s="51" t="s">
        <v>94</v>
      </c>
      <c r="B99" s="52">
        <f t="shared" ref="B99:B101" si="27">AH99/$AH$10</f>
        <v>0.1293897366</v>
      </c>
      <c r="C99" s="53">
        <f t="shared" ref="C99:AH99" si="26">SUM(C100:C101)</f>
        <v>0</v>
      </c>
      <c r="D99" s="53">
        <f t="shared" si="26"/>
        <v>0</v>
      </c>
      <c r="E99" s="53">
        <f t="shared" si="26"/>
        <v>0</v>
      </c>
      <c r="F99" s="53">
        <f t="shared" si="26"/>
        <v>0</v>
      </c>
      <c r="G99" s="53">
        <f t="shared" si="26"/>
        <v>0</v>
      </c>
      <c r="H99" s="53">
        <f t="shared" si="26"/>
        <v>0</v>
      </c>
      <c r="I99" s="53">
        <f t="shared" si="26"/>
        <v>0</v>
      </c>
      <c r="J99" s="53">
        <f t="shared" si="26"/>
        <v>0</v>
      </c>
      <c r="K99" s="53">
        <f t="shared" si="26"/>
        <v>0</v>
      </c>
      <c r="L99" s="53">
        <f t="shared" si="26"/>
        <v>0</v>
      </c>
      <c r="M99" s="53">
        <f t="shared" si="26"/>
        <v>0</v>
      </c>
      <c r="N99" s="53">
        <f t="shared" si="26"/>
        <v>0</v>
      </c>
      <c r="O99" s="53">
        <f t="shared" si="26"/>
        <v>0</v>
      </c>
      <c r="P99" s="53">
        <f t="shared" si="26"/>
        <v>0</v>
      </c>
      <c r="Q99" s="53">
        <f t="shared" si="26"/>
        <v>0</v>
      </c>
      <c r="R99" s="53">
        <f t="shared" si="26"/>
        <v>0</v>
      </c>
      <c r="S99" s="53">
        <f t="shared" si="26"/>
        <v>0</v>
      </c>
      <c r="T99" s="53">
        <f t="shared" si="26"/>
        <v>0</v>
      </c>
      <c r="U99" s="53">
        <f t="shared" si="26"/>
        <v>4779587</v>
      </c>
      <c r="V99" s="53">
        <f t="shared" si="26"/>
        <v>0</v>
      </c>
      <c r="W99" s="53">
        <f t="shared" si="26"/>
        <v>0</v>
      </c>
      <c r="X99" s="53">
        <f t="shared" si="26"/>
        <v>0</v>
      </c>
      <c r="Y99" s="53">
        <f t="shared" si="26"/>
        <v>0</v>
      </c>
      <c r="Z99" s="53">
        <f t="shared" si="26"/>
        <v>0</v>
      </c>
      <c r="AA99" s="53">
        <f t="shared" si="26"/>
        <v>0</v>
      </c>
      <c r="AB99" s="53">
        <f t="shared" si="26"/>
        <v>0</v>
      </c>
      <c r="AC99" s="53">
        <f t="shared" si="26"/>
        <v>0</v>
      </c>
      <c r="AD99" s="53">
        <f t="shared" si="26"/>
        <v>0</v>
      </c>
      <c r="AE99" s="53">
        <f t="shared" si="26"/>
        <v>0</v>
      </c>
      <c r="AF99" s="53">
        <f t="shared" si="26"/>
        <v>0</v>
      </c>
      <c r="AG99" s="53">
        <f t="shared" si="26"/>
        <v>0</v>
      </c>
      <c r="AH99" s="54">
        <f t="shared" si="26"/>
        <v>4779587</v>
      </c>
    </row>
    <row r="100">
      <c r="A100" s="16" t="s">
        <v>95</v>
      </c>
      <c r="B100" s="27">
        <f t="shared" si="27"/>
        <v>0</v>
      </c>
      <c r="C100" s="20">
        <v>0.0</v>
      </c>
      <c r="D100" s="20">
        <v>0.0</v>
      </c>
      <c r="E100" s="20">
        <v>0.0</v>
      </c>
      <c r="F100" s="20">
        <v>0.0</v>
      </c>
      <c r="G100" s="20">
        <v>0.0</v>
      </c>
      <c r="H100" s="20">
        <v>0.0</v>
      </c>
      <c r="I100" s="20">
        <v>0.0</v>
      </c>
      <c r="J100" s="20">
        <v>0.0</v>
      </c>
      <c r="K100" s="20">
        <v>0.0</v>
      </c>
      <c r="L100" s="20">
        <v>0.0</v>
      </c>
      <c r="M100" s="20">
        <v>0.0</v>
      </c>
      <c r="N100" s="20">
        <v>0.0</v>
      </c>
      <c r="O100" s="20">
        <v>0.0</v>
      </c>
      <c r="P100" s="20">
        <v>0.0</v>
      </c>
      <c r="Q100" s="20">
        <v>0.0</v>
      </c>
      <c r="R100" s="20">
        <v>0.0</v>
      </c>
      <c r="S100" s="20">
        <v>0.0</v>
      </c>
      <c r="T100" s="20">
        <v>0.0</v>
      </c>
      <c r="U100" s="20">
        <v>0.0</v>
      </c>
      <c r="V100" s="20">
        <v>0.0</v>
      </c>
      <c r="W100" s="20">
        <v>0.0</v>
      </c>
      <c r="X100" s="20">
        <v>0.0</v>
      </c>
      <c r="Y100" s="20">
        <v>0.0</v>
      </c>
      <c r="Z100" s="20">
        <v>0.0</v>
      </c>
      <c r="AA100" s="20">
        <v>0.0</v>
      </c>
      <c r="AB100" s="20">
        <v>0.0</v>
      </c>
      <c r="AC100" s="20">
        <v>0.0</v>
      </c>
      <c r="AD100" s="20">
        <v>0.0</v>
      </c>
      <c r="AE100" s="20">
        <v>0.0</v>
      </c>
      <c r="AF100" s="20">
        <v>0.0</v>
      </c>
      <c r="AG100" s="20">
        <v>0.0</v>
      </c>
      <c r="AH100" s="19">
        <f t="shared" ref="AH100:AH101" si="28">SUM(C100:AG100)</f>
        <v>0</v>
      </c>
    </row>
    <row r="101">
      <c r="A101" s="16" t="s">
        <v>96</v>
      </c>
      <c r="B101" s="27">
        <f t="shared" si="27"/>
        <v>0.1293897366</v>
      </c>
      <c r="C101" s="20">
        <v>0.0</v>
      </c>
      <c r="D101" s="20">
        <v>0.0</v>
      </c>
      <c r="E101" s="20">
        <v>0.0</v>
      </c>
      <c r="F101" s="20">
        <v>0.0</v>
      </c>
      <c r="G101" s="20">
        <v>0.0</v>
      </c>
      <c r="H101" s="20">
        <v>0.0</v>
      </c>
      <c r="I101" s="20">
        <v>0.0</v>
      </c>
      <c r="J101" s="20">
        <v>0.0</v>
      </c>
      <c r="K101" s="20">
        <v>0.0</v>
      </c>
      <c r="L101" s="20">
        <v>0.0</v>
      </c>
      <c r="M101" s="20">
        <v>0.0</v>
      </c>
      <c r="N101" s="20">
        <v>0.0</v>
      </c>
      <c r="O101" s="20">
        <v>0.0</v>
      </c>
      <c r="P101" s="20">
        <v>0.0</v>
      </c>
      <c r="Q101" s="20">
        <v>0.0</v>
      </c>
      <c r="R101" s="20">
        <v>0.0</v>
      </c>
      <c r="S101" s="20">
        <v>0.0</v>
      </c>
      <c r="T101" s="20">
        <v>0.0</v>
      </c>
      <c r="U101" s="17">
        <v>4779587.0</v>
      </c>
      <c r="V101" s="17">
        <v>0.0</v>
      </c>
      <c r="W101" s="20">
        <v>0.0</v>
      </c>
      <c r="X101" s="20">
        <v>0.0</v>
      </c>
      <c r="Y101" s="20">
        <v>0.0</v>
      </c>
      <c r="Z101" s="20">
        <v>0.0</v>
      </c>
      <c r="AA101" s="20">
        <v>0.0</v>
      </c>
      <c r="AB101" s="20">
        <v>0.0</v>
      </c>
      <c r="AC101" s="20">
        <v>0.0</v>
      </c>
      <c r="AD101" s="20">
        <v>0.0</v>
      </c>
      <c r="AE101" s="20">
        <v>0.0</v>
      </c>
      <c r="AF101" s="20">
        <v>0.0</v>
      </c>
      <c r="AG101" s="20">
        <v>0.0</v>
      </c>
      <c r="AH101" s="19">
        <f t="shared" si="28"/>
        <v>4779587</v>
      </c>
    </row>
    <row r="102">
      <c r="A102" s="7"/>
      <c r="B102" s="8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7"/>
      <c r="AH102" s="7"/>
    </row>
    <row r="103">
      <c r="A103" s="55" t="s">
        <v>97</v>
      </c>
      <c r="B103" s="56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>
        <f>AB104+AB105</f>
        <v>1760416</v>
      </c>
      <c r="AC103" s="57"/>
      <c r="AD103" s="57"/>
      <c r="AE103" s="57"/>
      <c r="AF103" s="57"/>
      <c r="AG103" s="58"/>
      <c r="AH103" s="38">
        <f>AH104+AH105</f>
        <v>1760416</v>
      </c>
    </row>
    <row r="104">
      <c r="A104" s="16" t="s">
        <v>98</v>
      </c>
      <c r="B104" s="8"/>
      <c r="C104" s="20">
        <v>0.0</v>
      </c>
      <c r="D104" s="20">
        <v>0.0</v>
      </c>
      <c r="E104" s="20">
        <v>0.0</v>
      </c>
      <c r="F104" s="20">
        <v>0.0</v>
      </c>
      <c r="G104" s="20">
        <v>0.0</v>
      </c>
      <c r="H104" s="20">
        <v>0.0</v>
      </c>
      <c r="I104" s="20">
        <v>0.0</v>
      </c>
      <c r="J104" s="20">
        <v>0.0</v>
      </c>
      <c r="K104" s="20">
        <v>0.0</v>
      </c>
      <c r="L104" s="20">
        <v>0.0</v>
      </c>
      <c r="M104" s="20">
        <v>0.0</v>
      </c>
      <c r="N104" s="20">
        <v>0.0</v>
      </c>
      <c r="O104" s="20">
        <v>0.0</v>
      </c>
      <c r="P104" s="20">
        <v>0.0</v>
      </c>
      <c r="Q104" s="20">
        <v>0.0</v>
      </c>
      <c r="R104" s="20">
        <v>0.0</v>
      </c>
      <c r="S104" s="20">
        <v>0.0</v>
      </c>
      <c r="T104" s="20">
        <v>0.0</v>
      </c>
      <c r="U104" s="20">
        <v>0.0</v>
      </c>
      <c r="V104" s="20">
        <v>0.0</v>
      </c>
      <c r="W104" s="20">
        <v>0.0</v>
      </c>
      <c r="X104" s="20">
        <v>0.0</v>
      </c>
      <c r="Y104" s="20">
        <v>0.0</v>
      </c>
      <c r="Z104" s="20">
        <v>0.0</v>
      </c>
      <c r="AA104" s="20">
        <v>0.0</v>
      </c>
      <c r="AB104" s="17">
        <v>1760416.0</v>
      </c>
      <c r="AC104" s="20">
        <v>0.0</v>
      </c>
      <c r="AD104" s="20">
        <v>0.0</v>
      </c>
      <c r="AE104" s="17">
        <v>0.0</v>
      </c>
      <c r="AF104" s="20">
        <v>0.0</v>
      </c>
      <c r="AG104" s="20">
        <v>0.0</v>
      </c>
      <c r="AH104" s="59">
        <f t="shared" ref="AH104:AH105" si="29">sum(C104:AG104)</f>
        <v>1760416</v>
      </c>
    </row>
    <row r="105">
      <c r="A105" s="7"/>
      <c r="B105" s="8"/>
      <c r="C105" s="20">
        <v>0.0</v>
      </c>
      <c r="D105" s="20">
        <v>0.0</v>
      </c>
      <c r="E105" s="20">
        <v>0.0</v>
      </c>
      <c r="F105" s="20">
        <v>0.0</v>
      </c>
      <c r="G105" s="20">
        <v>0.0</v>
      </c>
      <c r="H105" s="20">
        <v>0.0</v>
      </c>
      <c r="I105" s="20">
        <v>0.0</v>
      </c>
      <c r="J105" s="20">
        <v>0.0</v>
      </c>
      <c r="K105" s="20">
        <v>0.0</v>
      </c>
      <c r="L105" s="20">
        <v>0.0</v>
      </c>
      <c r="M105" s="20">
        <v>0.0</v>
      </c>
      <c r="N105" s="20">
        <v>0.0</v>
      </c>
      <c r="O105" s="20">
        <v>0.0</v>
      </c>
      <c r="P105" s="20">
        <v>0.0</v>
      </c>
      <c r="Q105" s="20">
        <v>0.0</v>
      </c>
      <c r="R105" s="20">
        <v>0.0</v>
      </c>
      <c r="S105" s="20">
        <v>0.0</v>
      </c>
      <c r="T105" s="20">
        <v>0.0</v>
      </c>
      <c r="U105" s="20">
        <v>0.0</v>
      </c>
      <c r="V105" s="20">
        <v>0.0</v>
      </c>
      <c r="W105" s="20">
        <v>0.0</v>
      </c>
      <c r="X105" s="20">
        <v>0.0</v>
      </c>
      <c r="Y105" s="20">
        <v>0.0</v>
      </c>
      <c r="Z105" s="20">
        <v>0.0</v>
      </c>
      <c r="AA105" s="20">
        <v>0.0</v>
      </c>
      <c r="AB105" s="20">
        <v>0.0</v>
      </c>
      <c r="AC105" s="20">
        <v>0.0</v>
      </c>
      <c r="AD105" s="20">
        <v>0.0</v>
      </c>
      <c r="AE105" s="20">
        <v>0.0</v>
      </c>
      <c r="AF105" s="20">
        <v>0.0</v>
      </c>
      <c r="AG105" s="20">
        <v>0.0</v>
      </c>
      <c r="AH105" s="59">
        <f t="shared" si="29"/>
        <v>0</v>
      </c>
    </row>
    <row r="106">
      <c r="A106" s="7"/>
      <c r="B106" s="8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7"/>
      <c r="AH106" s="7"/>
    </row>
    <row r="107">
      <c r="A107" s="60" t="s">
        <v>99</v>
      </c>
      <c r="B107" s="61"/>
      <c r="C107" s="62">
        <f t="shared" ref="C107:AA107" si="30">C99+C88+C82+C32+C76+C12+C104+C105</f>
        <v>221500</v>
      </c>
      <c r="D107" s="62">
        <f t="shared" si="30"/>
        <v>530079</v>
      </c>
      <c r="E107" s="62">
        <f t="shared" si="30"/>
        <v>1664266</v>
      </c>
      <c r="F107" s="62">
        <f t="shared" si="30"/>
        <v>1742522</v>
      </c>
      <c r="G107" s="62">
        <f t="shared" si="30"/>
        <v>917526</v>
      </c>
      <c r="H107" s="62">
        <f t="shared" si="30"/>
        <v>2006137</v>
      </c>
      <c r="I107" s="62">
        <f t="shared" si="30"/>
        <v>284181</v>
      </c>
      <c r="J107" s="62">
        <f t="shared" si="30"/>
        <v>15020</v>
      </c>
      <c r="K107" s="62">
        <f t="shared" si="30"/>
        <v>538750</v>
      </c>
      <c r="L107" s="62">
        <f t="shared" si="30"/>
        <v>1663089</v>
      </c>
      <c r="M107" s="62">
        <f t="shared" si="30"/>
        <v>2191128</v>
      </c>
      <c r="N107" s="62">
        <f t="shared" si="30"/>
        <v>4088499</v>
      </c>
      <c r="O107" s="62">
        <f t="shared" si="30"/>
        <v>601086</v>
      </c>
      <c r="P107" s="62">
        <f t="shared" si="30"/>
        <v>2716804</v>
      </c>
      <c r="Q107" s="62">
        <f t="shared" si="30"/>
        <v>1072620</v>
      </c>
      <c r="R107" s="62">
        <f t="shared" si="30"/>
        <v>655947</v>
      </c>
      <c r="S107" s="62">
        <f t="shared" si="30"/>
        <v>2150903</v>
      </c>
      <c r="T107" s="62">
        <f t="shared" si="30"/>
        <v>735843</v>
      </c>
      <c r="U107" s="62">
        <f t="shared" si="30"/>
        <v>5434474</v>
      </c>
      <c r="V107" s="62">
        <f t="shared" si="30"/>
        <v>115198</v>
      </c>
      <c r="W107" s="62">
        <f t="shared" si="30"/>
        <v>51105</v>
      </c>
      <c r="X107" s="62">
        <f t="shared" si="30"/>
        <v>7900</v>
      </c>
      <c r="Y107" s="62">
        <f t="shared" si="30"/>
        <v>268230</v>
      </c>
      <c r="Z107" s="62">
        <f t="shared" si="30"/>
        <v>1517232</v>
      </c>
      <c r="AA107" s="62">
        <f t="shared" si="30"/>
        <v>1261495</v>
      </c>
      <c r="AB107" s="62">
        <f>AB99+AB88+AB82+AB32+AB76+AB12+AB104</f>
        <v>2010960</v>
      </c>
      <c r="AC107" s="62">
        <f t="shared" ref="AC107:AG107" si="31">AC99+AC88+AC82+AC32+AC76+AC12+AC104+AC105</f>
        <v>496381</v>
      </c>
      <c r="AD107" s="62">
        <f t="shared" si="31"/>
        <v>413975</v>
      </c>
      <c r="AE107" s="62">
        <f t="shared" si="31"/>
        <v>7900</v>
      </c>
      <c r="AF107" s="62">
        <f t="shared" si="31"/>
        <v>492647</v>
      </c>
      <c r="AG107" s="62">
        <f t="shared" si="31"/>
        <v>9069130</v>
      </c>
      <c r="AH107" s="63">
        <f t="shared" ref="AH107:AH108" si="33">sum(C107:AG107)</f>
        <v>44942527</v>
      </c>
    </row>
    <row r="108">
      <c r="A108" s="64" t="s">
        <v>100</v>
      </c>
      <c r="B108" s="65"/>
      <c r="C108" s="63">
        <f t="shared" ref="C108:AG108" si="32">C99+C88+C32+C76+C12</f>
        <v>221500</v>
      </c>
      <c r="D108" s="63">
        <f t="shared" si="32"/>
        <v>30300</v>
      </c>
      <c r="E108" s="63">
        <f t="shared" si="32"/>
        <v>1377466</v>
      </c>
      <c r="F108" s="63">
        <f t="shared" si="32"/>
        <v>1742522</v>
      </c>
      <c r="G108" s="63">
        <f t="shared" si="32"/>
        <v>917526</v>
      </c>
      <c r="H108" s="63">
        <f t="shared" si="32"/>
        <v>1864570</v>
      </c>
      <c r="I108" s="63">
        <f t="shared" si="32"/>
        <v>284181</v>
      </c>
      <c r="J108" s="63">
        <f t="shared" si="32"/>
        <v>15020</v>
      </c>
      <c r="K108" s="63">
        <f t="shared" si="32"/>
        <v>32320</v>
      </c>
      <c r="L108" s="63">
        <f t="shared" si="32"/>
        <v>1663089</v>
      </c>
      <c r="M108" s="63">
        <f t="shared" si="32"/>
        <v>1960328</v>
      </c>
      <c r="N108" s="63">
        <f t="shared" si="32"/>
        <v>4088499</v>
      </c>
      <c r="O108" s="63">
        <f t="shared" si="32"/>
        <v>408959</v>
      </c>
      <c r="P108" s="63">
        <f t="shared" si="32"/>
        <v>2716804</v>
      </c>
      <c r="Q108" s="63">
        <f t="shared" si="32"/>
        <v>1072620</v>
      </c>
      <c r="R108" s="63">
        <f t="shared" si="32"/>
        <v>173310</v>
      </c>
      <c r="S108" s="63">
        <f t="shared" si="32"/>
        <v>1775992</v>
      </c>
      <c r="T108" s="63">
        <f t="shared" si="32"/>
        <v>735843</v>
      </c>
      <c r="U108" s="63">
        <f t="shared" si="32"/>
        <v>5329474</v>
      </c>
      <c r="V108" s="63">
        <f t="shared" si="32"/>
        <v>115198</v>
      </c>
      <c r="W108" s="63">
        <f t="shared" si="32"/>
        <v>51105</v>
      </c>
      <c r="X108" s="63">
        <f t="shared" si="32"/>
        <v>7900</v>
      </c>
      <c r="Y108" s="63">
        <f t="shared" si="32"/>
        <v>268230</v>
      </c>
      <c r="Z108" s="63">
        <f t="shared" si="32"/>
        <v>906304</v>
      </c>
      <c r="AA108" s="63">
        <f t="shared" si="32"/>
        <v>1261495</v>
      </c>
      <c r="AB108" s="63">
        <f t="shared" si="32"/>
        <v>250544</v>
      </c>
      <c r="AC108" s="63">
        <f t="shared" si="32"/>
        <v>496381</v>
      </c>
      <c r="AD108" s="63">
        <f t="shared" si="32"/>
        <v>413975</v>
      </c>
      <c r="AE108" s="63">
        <f t="shared" si="32"/>
        <v>7900</v>
      </c>
      <c r="AF108" s="63">
        <f t="shared" si="32"/>
        <v>42640</v>
      </c>
      <c r="AG108" s="63">
        <f t="shared" si="32"/>
        <v>9069130</v>
      </c>
      <c r="AH108" s="63">
        <f t="shared" si="33"/>
        <v>39301125</v>
      </c>
    </row>
    <row r="109">
      <c r="A109" s="7"/>
      <c r="B109" s="8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7"/>
      <c r="AH109" s="7"/>
    </row>
    <row r="110">
      <c r="A110" s="21" t="s">
        <v>101</v>
      </c>
      <c r="B110" s="27">
        <f>AH110/$AH$10</f>
        <v>-0.06393339264</v>
      </c>
      <c r="C110" s="22">
        <f t="shared" ref="C110:AG110" si="34">C9-C108</f>
        <v>2351319</v>
      </c>
      <c r="D110" s="22">
        <f t="shared" si="34"/>
        <v>1290287</v>
      </c>
      <c r="E110" s="22">
        <f t="shared" si="34"/>
        <v>-314748</v>
      </c>
      <c r="F110" s="22">
        <f t="shared" si="34"/>
        <v>-330930</v>
      </c>
      <c r="G110" s="22">
        <f t="shared" si="34"/>
        <v>-40785</v>
      </c>
      <c r="H110" s="22">
        <f t="shared" si="34"/>
        <v>-630914</v>
      </c>
      <c r="I110" s="22">
        <f t="shared" si="34"/>
        <v>1807379</v>
      </c>
      <c r="J110" s="22">
        <f t="shared" si="34"/>
        <v>2254938</v>
      </c>
      <c r="K110" s="22">
        <f t="shared" si="34"/>
        <v>1410040</v>
      </c>
      <c r="L110" s="22">
        <f t="shared" si="34"/>
        <v>-950603</v>
      </c>
      <c r="M110" s="22">
        <f t="shared" si="34"/>
        <v>-764963</v>
      </c>
      <c r="N110" s="22">
        <f t="shared" si="34"/>
        <v>-2966882</v>
      </c>
      <c r="O110" s="22">
        <f t="shared" si="34"/>
        <v>1177735</v>
      </c>
      <c r="P110" s="22">
        <f t="shared" si="34"/>
        <v>-994042</v>
      </c>
      <c r="Q110" s="22">
        <f t="shared" si="34"/>
        <v>641077</v>
      </c>
      <c r="R110" s="22">
        <f t="shared" si="34"/>
        <v>740541</v>
      </c>
      <c r="S110" s="22">
        <f t="shared" si="34"/>
        <v>-1013603</v>
      </c>
      <c r="T110" s="22">
        <f t="shared" si="34"/>
        <v>305088</v>
      </c>
      <c r="U110" s="22">
        <f t="shared" si="34"/>
        <v>-4363499</v>
      </c>
      <c r="V110" s="22">
        <f t="shared" si="34"/>
        <v>978255</v>
      </c>
      <c r="W110" s="22">
        <f t="shared" si="34"/>
        <v>1483482</v>
      </c>
      <c r="X110" s="22">
        <f t="shared" si="34"/>
        <v>1668025</v>
      </c>
      <c r="Y110" s="22">
        <f t="shared" si="34"/>
        <v>1072555</v>
      </c>
      <c r="Z110" s="22">
        <f t="shared" si="34"/>
        <v>-64388</v>
      </c>
      <c r="AA110" s="22">
        <f t="shared" si="34"/>
        <v>-287275</v>
      </c>
      <c r="AB110" s="22">
        <f t="shared" si="34"/>
        <v>661684</v>
      </c>
      <c r="AC110" s="22">
        <f t="shared" si="34"/>
        <v>756664</v>
      </c>
      <c r="AD110" s="22">
        <f t="shared" si="34"/>
        <v>859070</v>
      </c>
      <c r="AE110" s="22">
        <f t="shared" si="34"/>
        <v>2360280</v>
      </c>
      <c r="AF110" s="22">
        <f t="shared" si="34"/>
        <v>942847</v>
      </c>
      <c r="AG110" s="22">
        <f t="shared" si="34"/>
        <v>-8519313</v>
      </c>
      <c r="AH110" s="19">
        <f>AH10-AH108</f>
        <v>-2361665</v>
      </c>
    </row>
    <row r="111">
      <c r="A111" s="7"/>
      <c r="B111" s="8"/>
      <c r="C111" s="66"/>
      <c r="D111" s="66"/>
      <c r="E111" s="66"/>
      <c r="F111" s="66"/>
      <c r="G111" s="66"/>
      <c r="H111" s="66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7"/>
      <c r="B1002" s="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7"/>
      <c r="B1003" s="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7"/>
      <c r="B1004" s="8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7"/>
      <c r="B1005" s="8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7"/>
      <c r="B1006" s="8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7"/>
      <c r="B1007" s="8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7"/>
      <c r="B1008" s="8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7"/>
      <c r="B1009" s="8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7"/>
      <c r="B1010" s="8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7"/>
      <c r="B1011" s="8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7"/>
      <c r="B1012" s="8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7"/>
      <c r="B1013" s="8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7"/>
      <c r="B1014" s="8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7"/>
      <c r="B1015" s="8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7"/>
      <c r="B1016" s="8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>
      <c r="A1017" s="7"/>
      <c r="B1017" s="8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>
      <c r="A1018" s="7"/>
      <c r="B1018" s="8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>
      <c r="A1019" s="7"/>
      <c r="B1019" s="8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>
      <c r="A1020" s="7"/>
      <c r="B1020" s="8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>
      <c r="A1021" s="7"/>
      <c r="B1021" s="8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>
      <c r="A1022" s="7"/>
      <c r="B1022" s="8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>
      <c r="A1023" s="7"/>
      <c r="B1023" s="8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>
      <c r="A1024" s="7"/>
      <c r="B1024" s="8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>
      <c r="A1025" s="7"/>
      <c r="B1025" s="8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>
      <c r="A1026" s="7"/>
      <c r="B1026" s="8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>
      <c r="A1027" s="7"/>
      <c r="B1027" s="8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>
      <c r="A1028" s="7"/>
      <c r="B1028" s="8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>
      <c r="A1029" s="7"/>
      <c r="B1029" s="8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>
      <c r="A1030" s="7"/>
      <c r="B1030" s="8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>
      <c r="A1031" s="7"/>
      <c r="B1031" s="8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>
      <c r="A1032" s="7"/>
      <c r="B1032" s="8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>
      <c r="A1033" s="7"/>
      <c r="B1033" s="8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>
      <c r="A1034" s="7"/>
      <c r="B1034" s="8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>
      <c r="A1035" s="7"/>
      <c r="B1035" s="8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>
      <c r="A1036" s="7"/>
      <c r="B1036" s="8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>
      <c r="A1037" s="7"/>
      <c r="B1037" s="8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>
      <c r="A1038" s="7"/>
      <c r="B1038" s="8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>
      <c r="A1039" s="7"/>
      <c r="B1039" s="8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>
      <c r="A1040" s="7"/>
      <c r="B1040" s="8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>
      <c r="A1041" s="7"/>
      <c r="B1041" s="8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>
      <c r="A1042" s="7"/>
      <c r="B1042" s="8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>
      <c r="A1043" s="7"/>
      <c r="B1043" s="8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>
      <c r="A1044" s="7"/>
      <c r="B1044" s="8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>
      <c r="A1045" s="7"/>
      <c r="B1045" s="8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>
      <c r="A1046" s="7"/>
      <c r="B1046" s="8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>
      <c r="A1047" s="7"/>
      <c r="B1047" s="8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>
      <c r="A1048" s="7"/>
      <c r="B1048" s="8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>
      <c r="A1049" s="7"/>
      <c r="B1049" s="8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</row>
    <row r="1050">
      <c r="A1050" s="7"/>
      <c r="B1050" s="8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63"/>
    <col hidden="1" min="33" max="33" width="12.63"/>
  </cols>
  <sheetData>
    <row r="1">
      <c r="A1" s="1"/>
      <c r="B1" s="3"/>
      <c r="C1" s="4">
        <v>46113.0</v>
      </c>
      <c r="D1" s="4">
        <v>46114.0</v>
      </c>
      <c r="E1" s="4">
        <v>46115.0</v>
      </c>
      <c r="F1" s="4">
        <v>46116.0</v>
      </c>
      <c r="G1" s="4">
        <v>46117.0</v>
      </c>
      <c r="H1" s="4">
        <v>46118.0</v>
      </c>
      <c r="I1" s="4">
        <v>46119.0</v>
      </c>
      <c r="J1" s="4">
        <v>46120.0</v>
      </c>
      <c r="K1" s="4">
        <v>46121.0</v>
      </c>
      <c r="L1" s="4">
        <v>46122.0</v>
      </c>
      <c r="M1" s="4">
        <v>46123.0</v>
      </c>
      <c r="N1" s="4">
        <v>46124.0</v>
      </c>
      <c r="O1" s="4">
        <v>46125.0</v>
      </c>
      <c r="P1" s="4">
        <v>46126.0</v>
      </c>
      <c r="Q1" s="4">
        <v>46127.0</v>
      </c>
      <c r="R1" s="4">
        <v>46128.0</v>
      </c>
      <c r="S1" s="4">
        <v>46129.0</v>
      </c>
      <c r="T1" s="4">
        <v>46130.0</v>
      </c>
      <c r="U1" s="4">
        <v>46131.0</v>
      </c>
      <c r="V1" s="4">
        <v>46132.0</v>
      </c>
      <c r="W1" s="4">
        <v>46133.0</v>
      </c>
      <c r="X1" s="4">
        <v>46134.0</v>
      </c>
      <c r="Y1" s="4">
        <v>46135.0</v>
      </c>
      <c r="Z1" s="4">
        <v>46136.0</v>
      </c>
      <c r="AA1" s="4">
        <v>46137.0</v>
      </c>
      <c r="AB1" s="4">
        <v>46138.0</v>
      </c>
      <c r="AC1" s="4">
        <v>46139.0</v>
      </c>
      <c r="AD1" s="4">
        <v>46140.0</v>
      </c>
      <c r="AE1" s="4">
        <v>46141.0</v>
      </c>
      <c r="AF1" s="4">
        <v>46142.0</v>
      </c>
      <c r="AG1" s="4"/>
      <c r="AH1" s="6" t="s">
        <v>1</v>
      </c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7"/>
      <c r="AH2" s="7"/>
    </row>
    <row r="3">
      <c r="A3" s="7"/>
      <c r="B3" s="8"/>
      <c r="C3" s="10"/>
      <c r="D3" s="10"/>
      <c r="E3" s="10"/>
      <c r="F3" s="10"/>
      <c r="G3" s="10"/>
      <c r="H3" s="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11" t="s">
        <v>2</v>
      </c>
      <c r="B4" s="12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16" t="s">
        <v>3</v>
      </c>
      <c r="B5" s="8"/>
      <c r="C5" s="17">
        <f>667957+79894+912033+8131+106219</f>
        <v>1774234</v>
      </c>
      <c r="D5" s="17">
        <f>870428+489261+37666+177465</f>
        <v>1574820</v>
      </c>
      <c r="E5" s="17">
        <f>677368+717856+225891+66960+8071</f>
        <v>1696146</v>
      </c>
      <c r="F5" s="17">
        <f>442216+1285065+46633</f>
        <v>1773914</v>
      </c>
      <c r="G5" s="17">
        <f>70050+356223+1336911+97849</f>
        <v>1861033</v>
      </c>
      <c r="H5" s="17">
        <f>1250181+271029</f>
        <v>1521210</v>
      </c>
      <c r="I5" s="17">
        <f>278271+38941+3951</f>
        <v>321163</v>
      </c>
      <c r="J5" s="17">
        <f>448991+400286+30010+16540</f>
        <v>895827</v>
      </c>
      <c r="K5" s="17">
        <f>695233+316979+154031</f>
        <v>1166243</v>
      </c>
      <c r="L5" s="17">
        <f>1212830+35505+702249+39857+39833+11091</f>
        <v>2041365</v>
      </c>
      <c r="M5" s="17">
        <f>28598+553457+575438+209192+44839</f>
        <v>1411524</v>
      </c>
      <c r="N5" s="17">
        <f>469020+74333+1223646+53906</f>
        <v>1820905</v>
      </c>
      <c r="O5" s="17">
        <f>201577+537734+6268</f>
        <v>745579</v>
      </c>
      <c r="P5" s="17">
        <f>145167+44517+14857</f>
        <v>204541</v>
      </c>
      <c r="Q5" s="17">
        <f>24289+496073+537042+13850</f>
        <v>1071254</v>
      </c>
      <c r="R5" s="17">
        <f>615469+288051+56897+5273</f>
        <v>965690</v>
      </c>
      <c r="S5" s="17">
        <f>436873+248785+45054+20606+50319</f>
        <v>801637</v>
      </c>
      <c r="T5" s="17">
        <f>838581+333876+70946+39857</f>
        <v>1283260</v>
      </c>
      <c r="U5" s="17">
        <f>1079633+553715+74732+85693</f>
        <v>1793773</v>
      </c>
      <c r="V5" s="17">
        <f>1136070+360409</f>
        <v>1496479</v>
      </c>
      <c r="W5" s="17">
        <f>112370+24288+19550</f>
        <v>156208</v>
      </c>
      <c r="X5" s="17">
        <f>366602+589928+13850</f>
        <v>970380</v>
      </c>
      <c r="Y5" s="17">
        <f>364875+36569+748326+68979</f>
        <v>1218749</v>
      </c>
      <c r="Z5" s="17">
        <f>883235+1011032+184880+17795+88085</f>
        <v>2185027</v>
      </c>
      <c r="AA5" s="17">
        <f>569436+14425+553991+69351+23318</f>
        <v>1230521</v>
      </c>
      <c r="AB5" s="17">
        <f>135713+1863773+31587+354162</f>
        <v>2385235</v>
      </c>
      <c r="AC5" s="17">
        <f>137009+999668+34576</f>
        <v>1171253</v>
      </c>
      <c r="AD5" s="17">
        <f>219722+66434</f>
        <v>286156</v>
      </c>
      <c r="AE5" s="17">
        <f>515463+115297+25807+43412</f>
        <v>699979</v>
      </c>
      <c r="AF5" s="17">
        <f>469886+543452+7807+109110</f>
        <v>1130255</v>
      </c>
      <c r="AG5" s="17">
        <v>0.0</v>
      </c>
      <c r="AH5" s="19">
        <f t="shared" ref="AH5:AH8" si="1">SUM(C5:AG5)</f>
        <v>37654360</v>
      </c>
    </row>
    <row r="6">
      <c r="A6" s="16" t="s">
        <v>4</v>
      </c>
      <c r="B6" s="8"/>
      <c r="C6" s="17">
        <v>0.0</v>
      </c>
      <c r="D6" s="17">
        <v>0.0</v>
      </c>
      <c r="E6" s="17">
        <v>9020.0</v>
      </c>
      <c r="F6" s="17">
        <v>0.0</v>
      </c>
      <c r="G6" s="17">
        <v>0.0</v>
      </c>
      <c r="H6" s="17">
        <v>0.0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7">
        <v>0.0</v>
      </c>
      <c r="O6" s="17">
        <v>0.0</v>
      </c>
      <c r="P6" s="17">
        <v>55000.0</v>
      </c>
      <c r="Q6" s="17">
        <v>25900.0</v>
      </c>
      <c r="R6" s="17">
        <v>0.0</v>
      </c>
      <c r="S6" s="17">
        <v>0.0</v>
      </c>
      <c r="T6" s="17">
        <v>0.0</v>
      </c>
      <c r="U6" s="17">
        <v>21455.0</v>
      </c>
      <c r="V6" s="17">
        <v>0.0</v>
      </c>
      <c r="W6" s="17">
        <v>0.0</v>
      </c>
      <c r="X6" s="17">
        <v>0.0</v>
      </c>
      <c r="Y6" s="17">
        <v>30240.0</v>
      </c>
      <c r="Z6" s="17">
        <v>1300.0</v>
      </c>
      <c r="AA6" s="17">
        <v>0.0</v>
      </c>
      <c r="AB6" s="17">
        <v>0.0</v>
      </c>
      <c r="AC6" s="17">
        <v>0.0</v>
      </c>
      <c r="AD6" s="17">
        <v>0.0</v>
      </c>
      <c r="AE6" s="17">
        <v>18950.0</v>
      </c>
      <c r="AF6" s="17">
        <v>0.0</v>
      </c>
      <c r="AG6" s="17">
        <v>0.0</v>
      </c>
      <c r="AH6" s="19">
        <f t="shared" si="1"/>
        <v>161865</v>
      </c>
    </row>
    <row r="7">
      <c r="A7" s="16" t="s">
        <v>5</v>
      </c>
      <c r="B7" s="8"/>
      <c r="C7" s="17">
        <v>0.0</v>
      </c>
      <c r="D7" s="17">
        <v>0.0</v>
      </c>
      <c r="E7" s="17">
        <v>0.0</v>
      </c>
      <c r="F7" s="17">
        <v>0.0</v>
      </c>
      <c r="G7" s="17">
        <v>0.0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17">
        <v>0.0</v>
      </c>
      <c r="Z7" s="17">
        <v>0.0</v>
      </c>
      <c r="AA7" s="17">
        <v>0.0</v>
      </c>
      <c r="AB7" s="17">
        <v>0.0</v>
      </c>
      <c r="AC7" s="17">
        <v>0.0</v>
      </c>
      <c r="AD7" s="17">
        <v>200000.0</v>
      </c>
      <c r="AE7" s="17">
        <v>0.0</v>
      </c>
      <c r="AF7" s="17">
        <v>0.0</v>
      </c>
      <c r="AG7" s="17">
        <v>0.0</v>
      </c>
      <c r="AH7" s="19">
        <f t="shared" si="1"/>
        <v>200000</v>
      </c>
    </row>
    <row r="8">
      <c r="A8" s="16" t="s">
        <v>6</v>
      </c>
      <c r="B8" s="8"/>
      <c r="C8" s="17">
        <v>0.0</v>
      </c>
      <c r="D8" s="17">
        <v>0.0</v>
      </c>
      <c r="E8" s="17">
        <v>0.0</v>
      </c>
      <c r="F8" s="17">
        <v>0.0</v>
      </c>
      <c r="G8" s="17">
        <v>0.0</v>
      </c>
      <c r="H8" s="17">
        <v>0.0</v>
      </c>
      <c r="I8" s="17">
        <v>0.0</v>
      </c>
      <c r="J8" s="17">
        <f>503331+147765</f>
        <v>651096</v>
      </c>
      <c r="K8" s="17">
        <v>0.0</v>
      </c>
      <c r="L8" s="17">
        <v>0.0</v>
      </c>
      <c r="M8" s="17">
        <v>0.0</v>
      </c>
      <c r="N8" s="17">
        <v>0.0</v>
      </c>
      <c r="O8" s="17">
        <v>0.0</v>
      </c>
      <c r="P8" s="17">
        <f>295935+369316</f>
        <v>665251</v>
      </c>
      <c r="Q8" s="17">
        <v>0.0</v>
      </c>
      <c r="R8" s="17">
        <v>0.0</v>
      </c>
      <c r="S8" s="17">
        <v>0.0</v>
      </c>
      <c r="T8" s="17">
        <v>0.0</v>
      </c>
      <c r="U8" s="17">
        <v>0.0</v>
      </c>
      <c r="V8" s="17">
        <v>0.0</v>
      </c>
      <c r="W8" s="17">
        <f>426984+227006</f>
        <v>653990</v>
      </c>
      <c r="X8" s="17">
        <v>0.0</v>
      </c>
      <c r="Y8" s="17">
        <v>0.0</v>
      </c>
      <c r="Z8" s="17">
        <v>0.0</v>
      </c>
      <c r="AA8" s="17">
        <v>0.0</v>
      </c>
      <c r="AB8" s="17">
        <v>0.0</v>
      </c>
      <c r="AC8" s="17">
        <v>0.0</v>
      </c>
      <c r="AD8" s="17">
        <f>113291+558587</f>
        <v>671878</v>
      </c>
      <c r="AE8" s="17">
        <v>0.0</v>
      </c>
      <c r="AF8" s="17">
        <v>0.0</v>
      </c>
      <c r="AG8" s="17">
        <v>0.0</v>
      </c>
      <c r="AH8" s="19">
        <f t="shared" si="1"/>
        <v>2642215</v>
      </c>
    </row>
    <row r="9">
      <c r="A9" s="21" t="s">
        <v>7</v>
      </c>
      <c r="B9" s="8"/>
      <c r="C9" s="22">
        <f t="shared" ref="C9:AH9" si="2">SUM(C5:C8)</f>
        <v>1774234</v>
      </c>
      <c r="D9" s="22">
        <f t="shared" si="2"/>
        <v>1574820</v>
      </c>
      <c r="E9" s="22">
        <f t="shared" si="2"/>
        <v>1705166</v>
      </c>
      <c r="F9" s="22">
        <f t="shared" si="2"/>
        <v>1773914</v>
      </c>
      <c r="G9" s="22">
        <f t="shared" si="2"/>
        <v>1861033</v>
      </c>
      <c r="H9" s="22">
        <f t="shared" si="2"/>
        <v>1521210</v>
      </c>
      <c r="I9" s="22">
        <f t="shared" si="2"/>
        <v>321163</v>
      </c>
      <c r="J9" s="22">
        <f t="shared" si="2"/>
        <v>1546923</v>
      </c>
      <c r="K9" s="22">
        <f t="shared" si="2"/>
        <v>1166243</v>
      </c>
      <c r="L9" s="22">
        <f t="shared" si="2"/>
        <v>2041365</v>
      </c>
      <c r="M9" s="22">
        <f t="shared" si="2"/>
        <v>1411524</v>
      </c>
      <c r="N9" s="22">
        <f t="shared" si="2"/>
        <v>1820905</v>
      </c>
      <c r="O9" s="22">
        <f t="shared" si="2"/>
        <v>745579</v>
      </c>
      <c r="P9" s="22">
        <f t="shared" si="2"/>
        <v>924792</v>
      </c>
      <c r="Q9" s="22">
        <f t="shared" si="2"/>
        <v>1097154</v>
      </c>
      <c r="R9" s="22">
        <f t="shared" si="2"/>
        <v>965690</v>
      </c>
      <c r="S9" s="22">
        <f t="shared" si="2"/>
        <v>801637</v>
      </c>
      <c r="T9" s="22">
        <f t="shared" si="2"/>
        <v>1283260</v>
      </c>
      <c r="U9" s="22">
        <f t="shared" si="2"/>
        <v>1815228</v>
      </c>
      <c r="V9" s="22">
        <f t="shared" si="2"/>
        <v>1496479</v>
      </c>
      <c r="W9" s="22">
        <f t="shared" si="2"/>
        <v>810198</v>
      </c>
      <c r="X9" s="22">
        <f t="shared" si="2"/>
        <v>970380</v>
      </c>
      <c r="Y9" s="22">
        <f t="shared" si="2"/>
        <v>1248989</v>
      </c>
      <c r="Z9" s="22">
        <f t="shared" si="2"/>
        <v>2186327</v>
      </c>
      <c r="AA9" s="22">
        <f t="shared" si="2"/>
        <v>1230521</v>
      </c>
      <c r="AB9" s="22">
        <f t="shared" si="2"/>
        <v>2385235</v>
      </c>
      <c r="AC9" s="22">
        <f t="shared" si="2"/>
        <v>1171253</v>
      </c>
      <c r="AD9" s="22">
        <f t="shared" si="2"/>
        <v>1158034</v>
      </c>
      <c r="AE9" s="22">
        <f t="shared" si="2"/>
        <v>718929</v>
      </c>
      <c r="AF9" s="22">
        <f t="shared" si="2"/>
        <v>1130255</v>
      </c>
      <c r="AG9" s="22">
        <f t="shared" si="2"/>
        <v>0</v>
      </c>
      <c r="AH9" s="19">
        <f t="shared" si="2"/>
        <v>40658440</v>
      </c>
    </row>
    <row r="10">
      <c r="A10" s="21" t="s">
        <v>8</v>
      </c>
      <c r="B10" s="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9">
        <f>AH9-AH83</f>
        <v>36439992</v>
      </c>
    </row>
    <row r="11">
      <c r="A11" s="7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7"/>
      <c r="AC11" s="10"/>
      <c r="AD11" s="10"/>
      <c r="AE11" s="10"/>
      <c r="AF11" s="10"/>
      <c r="AG11" s="7"/>
      <c r="AH11" s="10"/>
    </row>
    <row r="12">
      <c r="A12" s="23" t="s">
        <v>9</v>
      </c>
      <c r="B12" s="24">
        <f t="shared" ref="B12:B31" si="5">AH12/$AH$10</f>
        <v>0.3119583835</v>
      </c>
      <c r="C12" s="25">
        <f t="shared" ref="C12:F12" si="3">sum(C13:C31)</f>
        <v>655705</v>
      </c>
      <c r="D12" s="25">
        <f t="shared" si="3"/>
        <v>92743</v>
      </c>
      <c r="E12" s="25">
        <f t="shared" si="3"/>
        <v>71690</v>
      </c>
      <c r="F12" s="25">
        <f t="shared" si="3"/>
        <v>56351</v>
      </c>
      <c r="G12" s="25">
        <f>sum(G15:G31)</f>
        <v>12500</v>
      </c>
      <c r="H12" s="25">
        <f t="shared" ref="H12:AH12" si="4">sum(H13:H31)</f>
        <v>500890</v>
      </c>
      <c r="I12" s="25">
        <f t="shared" si="4"/>
        <v>1184070</v>
      </c>
      <c r="J12" s="25">
        <f t="shared" si="4"/>
        <v>571936</v>
      </c>
      <c r="K12" s="25">
        <f t="shared" si="4"/>
        <v>680475</v>
      </c>
      <c r="L12" s="25">
        <f t="shared" si="4"/>
        <v>179150</v>
      </c>
      <c r="M12" s="25">
        <f t="shared" si="4"/>
        <v>14380</v>
      </c>
      <c r="N12" s="25">
        <f t="shared" si="4"/>
        <v>0</v>
      </c>
      <c r="O12" s="25">
        <f t="shared" si="4"/>
        <v>330721</v>
      </c>
      <c r="P12" s="25">
        <f t="shared" si="4"/>
        <v>944546</v>
      </c>
      <c r="Q12" s="25">
        <f t="shared" si="4"/>
        <v>727650</v>
      </c>
      <c r="R12" s="25">
        <f t="shared" si="4"/>
        <v>451133</v>
      </c>
      <c r="S12" s="25">
        <f t="shared" si="4"/>
        <v>166150</v>
      </c>
      <c r="T12" s="25">
        <f t="shared" si="4"/>
        <v>30418</v>
      </c>
      <c r="U12" s="25">
        <f t="shared" si="4"/>
        <v>340601</v>
      </c>
      <c r="V12" s="25">
        <f t="shared" si="4"/>
        <v>84000</v>
      </c>
      <c r="W12" s="25">
        <f t="shared" si="4"/>
        <v>921684</v>
      </c>
      <c r="X12" s="25">
        <f t="shared" si="4"/>
        <v>386950</v>
      </c>
      <c r="Y12" s="25">
        <f t="shared" si="4"/>
        <v>325997</v>
      </c>
      <c r="Z12" s="25">
        <f t="shared" si="4"/>
        <v>505512</v>
      </c>
      <c r="AA12" s="25">
        <f t="shared" si="4"/>
        <v>30434</v>
      </c>
      <c r="AB12" s="25">
        <f t="shared" si="4"/>
        <v>0</v>
      </c>
      <c r="AC12" s="25">
        <f t="shared" si="4"/>
        <v>5000</v>
      </c>
      <c r="AD12" s="25">
        <f t="shared" si="4"/>
        <v>874647</v>
      </c>
      <c r="AE12" s="25">
        <f t="shared" si="4"/>
        <v>803525</v>
      </c>
      <c r="AF12" s="25">
        <f t="shared" si="4"/>
        <v>418903</v>
      </c>
      <c r="AG12" s="25">
        <f t="shared" si="4"/>
        <v>0</v>
      </c>
      <c r="AH12" s="26">
        <f t="shared" si="4"/>
        <v>11367761</v>
      </c>
    </row>
    <row r="13">
      <c r="A13" s="16" t="s">
        <v>10</v>
      </c>
      <c r="B13" s="27">
        <f t="shared" si="5"/>
        <v>0.02472989017</v>
      </c>
      <c r="C13" s="17">
        <f>84000+50000</f>
        <v>134000</v>
      </c>
      <c r="D13" s="17">
        <v>50000.0</v>
      </c>
      <c r="E13" s="17">
        <v>59490.0</v>
      </c>
      <c r="F13" s="20">
        <v>0.0</v>
      </c>
      <c r="G13" s="20">
        <v>0.0</v>
      </c>
      <c r="H13" s="17">
        <v>62490.0</v>
      </c>
      <c r="I13" s="20">
        <v>0.0</v>
      </c>
      <c r="J13" s="17">
        <v>84000.0</v>
      </c>
      <c r="K13" s="17">
        <v>5200.0</v>
      </c>
      <c r="L13" s="20">
        <v>0.0</v>
      </c>
      <c r="M13" s="17">
        <v>14380.0</v>
      </c>
      <c r="N13" s="20">
        <v>0.0</v>
      </c>
      <c r="O13" s="17">
        <v>72470.0</v>
      </c>
      <c r="P13" s="20">
        <v>0.0</v>
      </c>
      <c r="Q13" s="20">
        <v>0.0</v>
      </c>
      <c r="R13" s="17">
        <v>0.0</v>
      </c>
      <c r="S13" s="17">
        <v>65000.0</v>
      </c>
      <c r="T13" s="17">
        <v>0.0</v>
      </c>
      <c r="U13" s="20">
        <v>0.0</v>
      </c>
      <c r="V13" s="17">
        <v>0.0</v>
      </c>
      <c r="W13" s="17">
        <f>95287+13990</f>
        <v>109277</v>
      </c>
      <c r="X13" s="20">
        <v>0.0</v>
      </c>
      <c r="Y13" s="17">
        <v>56490.0</v>
      </c>
      <c r="Z13" s="17">
        <f>41960+71000</f>
        <v>112960</v>
      </c>
      <c r="AA13" s="17">
        <f>10000+7800</f>
        <v>17800</v>
      </c>
      <c r="AB13" s="20">
        <v>0.0</v>
      </c>
      <c r="AC13" s="20">
        <v>0.0</v>
      </c>
      <c r="AD13" s="17">
        <v>0.0</v>
      </c>
      <c r="AE13" s="17" t="s">
        <v>11</v>
      </c>
      <c r="AF13" s="17">
        <f>37600+20000</f>
        <v>57600</v>
      </c>
      <c r="AG13" s="20">
        <v>0.0</v>
      </c>
      <c r="AH13" s="19">
        <f t="shared" ref="AH13:AH31" si="6">SUM(C13:AG13)</f>
        <v>901157</v>
      </c>
    </row>
    <row r="14">
      <c r="A14" s="28" t="s">
        <v>12</v>
      </c>
      <c r="B14" s="27">
        <f t="shared" si="5"/>
        <v>0.01308452538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17">
        <v>119200.0</v>
      </c>
      <c r="J14" s="20">
        <v>0.0</v>
      </c>
      <c r="K14" s="20">
        <v>0.0</v>
      </c>
      <c r="L14" s="20">
        <v>0.0</v>
      </c>
      <c r="M14" s="20">
        <v>0.0</v>
      </c>
      <c r="N14" s="20">
        <v>0.0</v>
      </c>
      <c r="O14" s="20">
        <v>0.0</v>
      </c>
      <c r="P14" s="20">
        <v>0.0</v>
      </c>
      <c r="Q14" s="17">
        <v>119200.0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17">
        <v>119200.0</v>
      </c>
      <c r="Y14" s="20">
        <v>0.0</v>
      </c>
      <c r="Z14" s="20">
        <v>0.0</v>
      </c>
      <c r="AA14" s="20">
        <v>0.0</v>
      </c>
      <c r="AB14" s="20">
        <v>0.0</v>
      </c>
      <c r="AC14" s="20">
        <v>0.0</v>
      </c>
      <c r="AD14" s="20">
        <v>0.0</v>
      </c>
      <c r="AE14" s="17">
        <v>119200.0</v>
      </c>
      <c r="AF14" s="20">
        <v>0.0</v>
      </c>
      <c r="AG14" s="20">
        <v>0.0</v>
      </c>
      <c r="AH14" s="19">
        <f t="shared" si="6"/>
        <v>476800</v>
      </c>
    </row>
    <row r="15">
      <c r="A15" s="16" t="s">
        <v>13</v>
      </c>
      <c r="B15" s="27">
        <f t="shared" si="5"/>
        <v>0.06738931227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17">
        <v>672333.0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  <c r="O15" s="20">
        <v>0.0</v>
      </c>
      <c r="P15" s="17">
        <v>599256.0</v>
      </c>
      <c r="Q15" s="20">
        <v>0.0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17">
        <v>399007.0</v>
      </c>
      <c r="X15" s="20">
        <v>0.0</v>
      </c>
      <c r="Y15" s="20">
        <v>0.0</v>
      </c>
      <c r="Z15" s="20">
        <v>0.0</v>
      </c>
      <c r="AA15" s="20">
        <v>0.0</v>
      </c>
      <c r="AB15" s="20">
        <v>0.0</v>
      </c>
      <c r="AC15" s="20">
        <v>0.0</v>
      </c>
      <c r="AD15" s="17">
        <v>577753.0</v>
      </c>
      <c r="AE15" s="20">
        <v>0.0</v>
      </c>
      <c r="AF15" s="17">
        <v>207317.0</v>
      </c>
      <c r="AG15" s="20">
        <v>0.0</v>
      </c>
      <c r="AH15" s="19">
        <f t="shared" si="6"/>
        <v>2455666</v>
      </c>
    </row>
    <row r="16">
      <c r="A16" s="28" t="s">
        <v>14</v>
      </c>
      <c r="B16" s="27">
        <f t="shared" si="5"/>
        <v>0.008451483743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17">
        <v>153986.0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0.0</v>
      </c>
      <c r="Q16" s="20">
        <v>0.0</v>
      </c>
      <c r="R16" s="20">
        <v>0.0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20">
        <v>0.0</v>
      </c>
      <c r="AF16" s="17">
        <v>153986.0</v>
      </c>
      <c r="AG16" s="20">
        <v>0.0</v>
      </c>
      <c r="AH16" s="19">
        <f t="shared" si="6"/>
        <v>307972</v>
      </c>
    </row>
    <row r="17">
      <c r="A17" s="28" t="s">
        <v>15</v>
      </c>
      <c r="B17" s="27">
        <f t="shared" si="5"/>
        <v>0.03628455791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17">
        <v>428400.0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0.0</v>
      </c>
      <c r="R17" s="17">
        <v>401625.0</v>
      </c>
      <c r="S17" s="20">
        <v>0.0</v>
      </c>
      <c r="T17" s="20">
        <v>0.0</v>
      </c>
      <c r="U17" s="17">
        <v>156604.0</v>
      </c>
      <c r="V17" s="20">
        <v>0.0</v>
      </c>
      <c r="W17" s="20">
        <v>0.0</v>
      </c>
      <c r="X17" s="20">
        <v>0.0</v>
      </c>
      <c r="Y17" s="20">
        <v>0.0</v>
      </c>
      <c r="Z17" s="17">
        <v>335580.0</v>
      </c>
      <c r="AA17" s="20">
        <v>0.0</v>
      </c>
      <c r="AB17" s="20">
        <v>0.0</v>
      </c>
      <c r="AC17" s="20">
        <v>0.0</v>
      </c>
      <c r="AD17" s="20">
        <v>0.0</v>
      </c>
      <c r="AE17" s="20">
        <v>0.0</v>
      </c>
      <c r="AF17" s="20">
        <v>0.0</v>
      </c>
      <c r="AG17" s="20">
        <v>0.0</v>
      </c>
      <c r="AH17" s="19">
        <f t="shared" si="6"/>
        <v>1322209</v>
      </c>
    </row>
    <row r="18">
      <c r="A18" s="29" t="s">
        <v>16</v>
      </c>
      <c r="B18" s="27">
        <f t="shared" si="5"/>
        <v>0.007347696454</v>
      </c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20">
        <v>0.0</v>
      </c>
      <c r="M18" s="20">
        <v>0.0</v>
      </c>
      <c r="N18" s="20">
        <v>0.0</v>
      </c>
      <c r="O18" s="20">
        <v>0.0</v>
      </c>
      <c r="P18" s="20">
        <v>0.0</v>
      </c>
      <c r="Q18" s="20">
        <v>0.0</v>
      </c>
      <c r="R18" s="20">
        <v>0.0</v>
      </c>
      <c r="S18" s="20">
        <v>0.0</v>
      </c>
      <c r="T18" s="20">
        <v>0.0</v>
      </c>
      <c r="U18" s="20">
        <v>0.0</v>
      </c>
      <c r="V18" s="20">
        <v>0.0</v>
      </c>
      <c r="W18" s="20">
        <v>0.0</v>
      </c>
      <c r="X18" s="17">
        <v>267750.0</v>
      </c>
      <c r="Y18" s="20">
        <v>0.0</v>
      </c>
      <c r="Z18" s="20">
        <v>0.0</v>
      </c>
      <c r="AA18" s="20">
        <v>0.0</v>
      </c>
      <c r="AB18" s="20">
        <v>0.0</v>
      </c>
      <c r="AC18" s="20">
        <v>0.0</v>
      </c>
      <c r="AD18" s="20">
        <v>0.0</v>
      </c>
      <c r="AE18" s="20">
        <v>0.0</v>
      </c>
      <c r="AF18" s="20">
        <v>0.0</v>
      </c>
      <c r="AG18" s="20">
        <v>0.0</v>
      </c>
      <c r="AH18" s="19">
        <f t="shared" si="6"/>
        <v>267750</v>
      </c>
    </row>
    <row r="19">
      <c r="A19" s="29" t="s">
        <v>17</v>
      </c>
      <c r="B19" s="27">
        <f t="shared" si="5"/>
        <v>0.06694540438</v>
      </c>
      <c r="C19" s="17">
        <v>139825.0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17">
        <v>160650.0</v>
      </c>
      <c r="K19" s="17">
        <v>628405.0</v>
      </c>
      <c r="L19" s="20">
        <v>0.0</v>
      </c>
      <c r="M19" s="20">
        <v>0.0</v>
      </c>
      <c r="N19" s="20">
        <v>0.0</v>
      </c>
      <c r="O19" s="20">
        <v>0.0</v>
      </c>
      <c r="P19" s="20">
        <v>0.0</v>
      </c>
      <c r="Q19" s="17">
        <v>608450.0</v>
      </c>
      <c r="R19" s="20">
        <v>0.0</v>
      </c>
      <c r="S19" s="20">
        <v>0.0</v>
      </c>
      <c r="T19" s="20">
        <v>0.0</v>
      </c>
      <c r="U19" s="20">
        <v>0.0</v>
      </c>
      <c r="V19" s="20">
        <v>0.0</v>
      </c>
      <c r="W19" s="17">
        <v>413400.0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20">
        <v>0.0</v>
      </c>
      <c r="AD19" s="20">
        <v>0.0</v>
      </c>
      <c r="AE19" s="17">
        <v>488760.0</v>
      </c>
      <c r="AF19" s="20">
        <v>0.0</v>
      </c>
      <c r="AG19" s="20">
        <v>0.0</v>
      </c>
      <c r="AH19" s="19">
        <f t="shared" si="6"/>
        <v>2439490</v>
      </c>
    </row>
    <row r="20">
      <c r="A20" s="28" t="s">
        <v>18</v>
      </c>
      <c r="B20" s="27">
        <f t="shared" si="5"/>
        <v>0.01724835724</v>
      </c>
      <c r="C20" s="17">
        <v>169575.0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17">
        <v>98770.0</v>
      </c>
      <c r="M20" s="20">
        <v>0.0</v>
      </c>
      <c r="N20" s="20">
        <v>0.0</v>
      </c>
      <c r="O20" s="20">
        <v>0.0</v>
      </c>
      <c r="P20" s="20">
        <v>0.0</v>
      </c>
      <c r="Q20" s="20">
        <v>0.0</v>
      </c>
      <c r="R20" s="20">
        <v>0.0</v>
      </c>
      <c r="S20" s="17">
        <v>101150.0</v>
      </c>
      <c r="T20" s="20">
        <v>0.0</v>
      </c>
      <c r="U20" s="20">
        <v>0.0</v>
      </c>
      <c r="V20" s="17">
        <v>84000.0</v>
      </c>
      <c r="W20" s="20">
        <v>0.0</v>
      </c>
      <c r="X20" s="20">
        <v>0.0</v>
      </c>
      <c r="Y20" s="17">
        <v>84000.0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17">
        <v>91035.0</v>
      </c>
      <c r="AF20" s="20">
        <v>0.0</v>
      </c>
      <c r="AG20" s="20">
        <v>0.0</v>
      </c>
      <c r="AH20" s="19">
        <f t="shared" si="6"/>
        <v>628530</v>
      </c>
    </row>
    <row r="21">
      <c r="A21" s="16" t="s">
        <v>20</v>
      </c>
      <c r="B21" s="27">
        <f t="shared" si="5"/>
        <v>0.007774507744</v>
      </c>
      <c r="C21" s="20">
        <v>0.0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17">
        <v>283303.0</v>
      </c>
      <c r="K21" s="20">
        <v>0.0</v>
      </c>
      <c r="L21" s="20">
        <v>0.0</v>
      </c>
      <c r="M21" s="20">
        <v>0.0</v>
      </c>
      <c r="N21" s="20">
        <v>0.0</v>
      </c>
      <c r="O21" s="20">
        <v>0.0</v>
      </c>
      <c r="P21" s="20">
        <v>0.0</v>
      </c>
      <c r="Q21" s="20">
        <v>0.0</v>
      </c>
      <c r="R21" s="20">
        <v>0.0</v>
      </c>
      <c r="S21" s="20">
        <v>0.0</v>
      </c>
      <c r="T21" s="20">
        <v>0.0</v>
      </c>
      <c r="U21" s="20">
        <v>0.0</v>
      </c>
      <c r="V21" s="20">
        <v>0.0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20">
        <v>0.0</v>
      </c>
      <c r="AF21" s="20">
        <v>0.0</v>
      </c>
      <c r="AG21" s="20">
        <v>0.0</v>
      </c>
      <c r="AH21" s="19">
        <f t="shared" si="6"/>
        <v>283303</v>
      </c>
    </row>
    <row r="22">
      <c r="A22" s="16" t="s">
        <v>22</v>
      </c>
      <c r="B22" s="27">
        <f t="shared" si="5"/>
        <v>0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  <c r="P22" s="20">
        <v>0.0</v>
      </c>
      <c r="Q22" s="20">
        <v>0.0</v>
      </c>
      <c r="R22" s="20">
        <v>0.0</v>
      </c>
      <c r="S22" s="20">
        <v>0.0</v>
      </c>
      <c r="T22" s="20">
        <v>0.0</v>
      </c>
      <c r="U22" s="20">
        <v>0.0</v>
      </c>
      <c r="V22" s="20">
        <v>0.0</v>
      </c>
      <c r="W22" s="20">
        <v>0.0</v>
      </c>
      <c r="X22" s="20">
        <v>0.0</v>
      </c>
      <c r="Y22" s="20">
        <v>0.0</v>
      </c>
      <c r="Z22" s="20">
        <v>0.0</v>
      </c>
      <c r="AA22" s="20">
        <v>0.0</v>
      </c>
      <c r="AB22" s="20">
        <v>0.0</v>
      </c>
      <c r="AC22" s="20">
        <v>0.0</v>
      </c>
      <c r="AD22" s="20">
        <v>0.0</v>
      </c>
      <c r="AE22" s="20">
        <v>0.0</v>
      </c>
      <c r="AF22" s="20">
        <v>0.0</v>
      </c>
      <c r="AG22" s="20">
        <v>0.0</v>
      </c>
      <c r="AH22" s="19">
        <f t="shared" si="6"/>
        <v>0</v>
      </c>
    </row>
    <row r="23">
      <c r="A23" s="16" t="s">
        <v>23</v>
      </c>
      <c r="B23" s="27">
        <f t="shared" si="5"/>
        <v>0.007576291455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17">
        <f>129424+5522</f>
        <v>134946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  <c r="V23" s="20">
        <v>0.0</v>
      </c>
      <c r="W23" s="20">
        <v>0.0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0.0</v>
      </c>
      <c r="AD23" s="17">
        <v>141134.0</v>
      </c>
      <c r="AE23" s="20">
        <v>0.0</v>
      </c>
      <c r="AF23" s="20">
        <v>0.0</v>
      </c>
      <c r="AG23" s="20">
        <v>0.0</v>
      </c>
      <c r="AH23" s="19">
        <f t="shared" si="6"/>
        <v>276080</v>
      </c>
    </row>
    <row r="24">
      <c r="A24" s="16" t="s">
        <v>24</v>
      </c>
      <c r="B24" s="27">
        <f t="shared" si="5"/>
        <v>0.002183205748</v>
      </c>
      <c r="C24" s="20">
        <v>0.0</v>
      </c>
      <c r="D24" s="20">
        <v>0.0</v>
      </c>
      <c r="E24" s="20">
        <v>0.0</v>
      </c>
      <c r="F24" s="17">
        <v>56351.0</v>
      </c>
      <c r="G24" s="20">
        <v>0.0</v>
      </c>
      <c r="H24" s="20">
        <v>0.0</v>
      </c>
      <c r="I24" s="17">
        <v>23205.0</v>
      </c>
      <c r="J24" s="20">
        <v>0.0</v>
      </c>
      <c r="K24" s="20">
        <v>0.0</v>
      </c>
      <c r="L24" s="20">
        <v>0.0</v>
      </c>
      <c r="M24" s="20">
        <v>0.0</v>
      </c>
      <c r="N24" s="20">
        <v>0.0</v>
      </c>
      <c r="O24" s="20">
        <v>0.0</v>
      </c>
      <c r="P24" s="20">
        <v>0.0</v>
      </c>
      <c r="Q24" s="20">
        <v>0.0</v>
      </c>
      <c r="R24" s="20">
        <v>0.0</v>
      </c>
      <c r="S24" s="20">
        <v>0.0</v>
      </c>
      <c r="T24" s="20">
        <v>0.0</v>
      </c>
      <c r="U24" s="20">
        <v>0.0</v>
      </c>
      <c r="V24" s="20">
        <v>0.0</v>
      </c>
      <c r="W24" s="20">
        <v>0.0</v>
      </c>
      <c r="X24" s="20">
        <v>0.0</v>
      </c>
      <c r="Y24" s="20">
        <v>0.0</v>
      </c>
      <c r="Z24" s="20">
        <v>0.0</v>
      </c>
      <c r="AA24" s="20">
        <v>0.0</v>
      </c>
      <c r="AB24" s="20">
        <v>0.0</v>
      </c>
      <c r="AC24" s="20">
        <v>0.0</v>
      </c>
      <c r="AD24" s="20">
        <v>0.0</v>
      </c>
      <c r="AE24" s="20">
        <v>0.0</v>
      </c>
      <c r="AF24" s="20">
        <v>0.0</v>
      </c>
      <c r="AG24" s="20">
        <v>0.0</v>
      </c>
      <c r="AH24" s="19">
        <f t="shared" si="6"/>
        <v>79556</v>
      </c>
    </row>
    <row r="25">
      <c r="A25" s="16" t="s">
        <v>25</v>
      </c>
      <c r="B25" s="27">
        <f t="shared" si="5"/>
        <v>0.007759167455</v>
      </c>
      <c r="C25" s="20">
        <v>0.0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0.0</v>
      </c>
      <c r="L25" s="20">
        <v>0.0</v>
      </c>
      <c r="M25" s="20">
        <v>0.0</v>
      </c>
      <c r="N25" s="20">
        <v>0.0</v>
      </c>
      <c r="O25" s="20">
        <v>0.0</v>
      </c>
      <c r="P25" s="17">
        <v>188496.0</v>
      </c>
      <c r="Q25" s="20">
        <v>0.0</v>
      </c>
      <c r="R25" s="20">
        <v>0.0</v>
      </c>
      <c r="S25" s="20">
        <v>0.0</v>
      </c>
      <c r="T25" s="20">
        <v>0.0</v>
      </c>
      <c r="U25" s="20">
        <v>0.0</v>
      </c>
      <c r="V25" s="20">
        <v>0.0</v>
      </c>
      <c r="W25" s="20">
        <v>0.0</v>
      </c>
      <c r="X25" s="20">
        <v>0.0</v>
      </c>
      <c r="Y25" s="20">
        <v>0.0</v>
      </c>
      <c r="Z25" s="20">
        <v>0.0</v>
      </c>
      <c r="AA25" s="20">
        <v>0.0</v>
      </c>
      <c r="AB25" s="20">
        <v>0.0</v>
      </c>
      <c r="AC25" s="20">
        <v>0.0</v>
      </c>
      <c r="AD25" s="17">
        <v>94248.0</v>
      </c>
      <c r="AE25" s="20">
        <v>0.0</v>
      </c>
      <c r="AF25" s="20">
        <v>0.0</v>
      </c>
      <c r="AG25" s="20">
        <v>0.0</v>
      </c>
      <c r="AH25" s="19">
        <f t="shared" si="6"/>
        <v>282744</v>
      </c>
    </row>
    <row r="26">
      <c r="A26" s="16" t="s">
        <v>26</v>
      </c>
      <c r="B26" s="27">
        <f t="shared" si="5"/>
        <v>0.008784551874</v>
      </c>
      <c r="C26" s="20">
        <v>0.0</v>
      </c>
      <c r="D26" s="17">
        <v>42743.0</v>
      </c>
      <c r="E26" s="20">
        <v>0.0</v>
      </c>
      <c r="F26" s="20">
        <v>0.0</v>
      </c>
      <c r="G26" s="17">
        <v>12500.0</v>
      </c>
      <c r="H26" s="17">
        <v>10000.0</v>
      </c>
      <c r="I26" s="17">
        <v>0.0</v>
      </c>
      <c r="J26" s="20">
        <v>0.0</v>
      </c>
      <c r="K26" s="17">
        <v>46870.0</v>
      </c>
      <c r="L26" s="20">
        <v>0.0</v>
      </c>
      <c r="M26" s="20">
        <v>0.0</v>
      </c>
      <c r="N26" s="20">
        <v>0.0</v>
      </c>
      <c r="O26" s="17">
        <v>17033.0</v>
      </c>
      <c r="P26" s="20">
        <v>0.0</v>
      </c>
      <c r="Q26" s="20">
        <v>0.0</v>
      </c>
      <c r="R26" s="17">
        <v>49508.0</v>
      </c>
      <c r="S26" s="20">
        <v>0.0</v>
      </c>
      <c r="T26" s="17">
        <v>30418.0</v>
      </c>
      <c r="U26" s="20">
        <v>0.0</v>
      </c>
      <c r="V26" s="20">
        <v>0.0</v>
      </c>
      <c r="W26" s="20">
        <v>0.0</v>
      </c>
      <c r="X26" s="20">
        <v>0.0</v>
      </c>
      <c r="Y26" s="17">
        <v>40391.0</v>
      </c>
      <c r="Z26" s="20">
        <v>0.0</v>
      </c>
      <c r="AA26" s="17">
        <v>12634.0</v>
      </c>
      <c r="AB26" s="20">
        <v>0.0</v>
      </c>
      <c r="AC26" s="20">
        <v>0.0</v>
      </c>
      <c r="AD26" s="17">
        <v>58012.0</v>
      </c>
      <c r="AE26" s="20">
        <v>0.0</v>
      </c>
      <c r="AF26" s="20">
        <v>0.0</v>
      </c>
      <c r="AG26" s="20">
        <v>0.0</v>
      </c>
      <c r="AH26" s="19">
        <f t="shared" si="6"/>
        <v>320109</v>
      </c>
    </row>
    <row r="27">
      <c r="A27" s="16" t="s">
        <v>27</v>
      </c>
      <c r="B27" s="27">
        <f t="shared" si="5"/>
        <v>0.01797805005</v>
      </c>
      <c r="C27" s="17">
        <v>122308.0</v>
      </c>
      <c r="D27" s="20">
        <v>0.0</v>
      </c>
      <c r="E27" s="20">
        <v>0.0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17">
        <f>71960+8420</f>
        <v>80380</v>
      </c>
      <c r="M27" s="20">
        <v>0.0</v>
      </c>
      <c r="N27" s="20">
        <v>0.0</v>
      </c>
      <c r="O27" s="20">
        <v>0.0</v>
      </c>
      <c r="P27" s="17">
        <v>156794.0</v>
      </c>
      <c r="Q27" s="20">
        <v>0.0</v>
      </c>
      <c r="R27" s="20">
        <v>0.0</v>
      </c>
      <c r="S27" s="20">
        <v>0.0</v>
      </c>
      <c r="T27" s="20">
        <v>0.0</v>
      </c>
      <c r="U27" s="20">
        <v>0.0</v>
      </c>
      <c r="V27" s="20">
        <v>0.0</v>
      </c>
      <c r="W27" s="20">
        <v>0.0</v>
      </c>
      <c r="X27" s="20">
        <v>0.0</v>
      </c>
      <c r="Y27" s="17">
        <v>137136.0</v>
      </c>
      <c r="Z27" s="17">
        <f>6350+47622</f>
        <v>53972</v>
      </c>
      <c r="AA27" s="20">
        <v>0.0</v>
      </c>
      <c r="AB27" s="20">
        <v>0.0</v>
      </c>
      <c r="AC27" s="20">
        <v>0.0</v>
      </c>
      <c r="AD27" s="20">
        <v>0.0</v>
      </c>
      <c r="AE27" s="17">
        <v>104530.0</v>
      </c>
      <c r="AF27" s="20">
        <v>0.0</v>
      </c>
      <c r="AG27" s="20">
        <v>0.0</v>
      </c>
      <c r="AH27" s="19">
        <f t="shared" si="6"/>
        <v>655120</v>
      </c>
    </row>
    <row r="28">
      <c r="A28" s="16" t="s">
        <v>28</v>
      </c>
      <c r="B28" s="27">
        <f t="shared" si="5"/>
        <v>0.004939463214</v>
      </c>
      <c r="C28" s="17">
        <v>89997.0</v>
      </c>
      <c r="D28" s="20">
        <v>0.0</v>
      </c>
      <c r="E28" s="20">
        <v>0.0</v>
      </c>
      <c r="F28" s="20">
        <v>0.0</v>
      </c>
      <c r="G28" s="20">
        <v>0.0</v>
      </c>
      <c r="H28" s="20">
        <v>0.0</v>
      </c>
      <c r="I28" s="20">
        <v>0.0</v>
      </c>
      <c r="J28" s="20">
        <v>0.0</v>
      </c>
      <c r="K28" s="20">
        <v>0.0</v>
      </c>
      <c r="L28" s="20">
        <v>0.0</v>
      </c>
      <c r="M28" s="20">
        <v>0.0</v>
      </c>
      <c r="N28" s="20">
        <v>0.0</v>
      </c>
      <c r="O28" s="20">
        <v>0.0</v>
      </c>
      <c r="P28" s="20">
        <v>0.0</v>
      </c>
      <c r="Q28" s="20">
        <v>0.0</v>
      </c>
      <c r="R28" s="20">
        <v>0.0</v>
      </c>
      <c r="S28" s="20">
        <v>0.0</v>
      </c>
      <c r="T28" s="20">
        <v>0.0</v>
      </c>
      <c r="U28" s="17">
        <v>89997.0</v>
      </c>
      <c r="V28" s="20">
        <v>0.0</v>
      </c>
      <c r="W28" s="20">
        <v>0.0</v>
      </c>
      <c r="X28" s="20">
        <v>0.0</v>
      </c>
      <c r="Y28" s="20">
        <v>0.0</v>
      </c>
      <c r="Z28" s="20">
        <v>0.0</v>
      </c>
      <c r="AA28" s="20">
        <v>0.0</v>
      </c>
      <c r="AB28" s="20">
        <v>0.0</v>
      </c>
      <c r="AC28" s="20">
        <v>0.0</v>
      </c>
      <c r="AD28" s="20">
        <v>0.0</v>
      </c>
      <c r="AE28" s="20">
        <v>0.0</v>
      </c>
      <c r="AF28" s="20">
        <v>0.0</v>
      </c>
      <c r="AG28" s="20">
        <v>0.0</v>
      </c>
      <c r="AH28" s="19">
        <f t="shared" si="6"/>
        <v>179994</v>
      </c>
    </row>
    <row r="29">
      <c r="A29" s="16" t="s">
        <v>29</v>
      </c>
      <c r="B29" s="27">
        <f t="shared" si="5"/>
        <v>0</v>
      </c>
      <c r="C29" s="20">
        <v>0.0</v>
      </c>
      <c r="D29" s="20">
        <v>0.0</v>
      </c>
      <c r="E29" s="20">
        <v>0.0</v>
      </c>
      <c r="F29" s="20">
        <v>0.0</v>
      </c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20">
        <v>0.0</v>
      </c>
      <c r="P29" s="20">
        <v>0.0</v>
      </c>
      <c r="Q29" s="20">
        <v>0.0</v>
      </c>
      <c r="R29" s="20">
        <v>0.0</v>
      </c>
      <c r="S29" s="20">
        <v>0.0</v>
      </c>
      <c r="T29" s="20">
        <v>0.0</v>
      </c>
      <c r="U29" s="20">
        <v>0.0</v>
      </c>
      <c r="V29" s="20">
        <v>0.0</v>
      </c>
      <c r="W29" s="20">
        <v>0.0</v>
      </c>
      <c r="X29" s="20">
        <v>0.0</v>
      </c>
      <c r="Y29" s="20">
        <v>0.0</v>
      </c>
      <c r="Z29" s="20">
        <v>0.0</v>
      </c>
      <c r="AA29" s="20">
        <v>0.0</v>
      </c>
      <c r="AB29" s="20">
        <v>0.0</v>
      </c>
      <c r="AC29" s="20">
        <v>0.0</v>
      </c>
      <c r="AD29" s="20">
        <v>0.0</v>
      </c>
      <c r="AE29" s="20">
        <v>0.0</v>
      </c>
      <c r="AF29" s="20">
        <v>0.0</v>
      </c>
      <c r="AG29" s="20">
        <v>0.0</v>
      </c>
      <c r="AH29" s="19">
        <f t="shared" si="6"/>
        <v>0</v>
      </c>
    </row>
    <row r="30">
      <c r="A30" s="16" t="s">
        <v>30</v>
      </c>
      <c r="B30" s="27">
        <f t="shared" si="5"/>
        <v>0.002625220115</v>
      </c>
      <c r="C30" s="20">
        <v>0.0</v>
      </c>
      <c r="D30" s="20">
        <v>0.0</v>
      </c>
      <c r="E30" s="20">
        <f>3500+900+2800+5000</f>
        <v>12200</v>
      </c>
      <c r="F30" s="20">
        <v>0.0</v>
      </c>
      <c r="G30" s="20">
        <v>0.0</v>
      </c>
      <c r="H30" s="20">
        <v>0.0</v>
      </c>
      <c r="I30" s="20">
        <v>0.0</v>
      </c>
      <c r="J30" s="17">
        <v>43983.0</v>
      </c>
      <c r="K30" s="20">
        <v>0.0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>
        <v>0.0</v>
      </c>
      <c r="T30" s="20">
        <v>0.0</v>
      </c>
      <c r="U30" s="17">
        <v>20000.0</v>
      </c>
      <c r="V30" s="20">
        <v>0.0</v>
      </c>
      <c r="W30" s="20">
        <v>0.0</v>
      </c>
      <c r="X30" s="20">
        <v>0.0</v>
      </c>
      <c r="Y30" s="17">
        <v>7980.0</v>
      </c>
      <c r="Z30" s="17">
        <v>3000.0</v>
      </c>
      <c r="AA30" s="20">
        <v>0.0</v>
      </c>
      <c r="AB30" s="20">
        <v>0.0</v>
      </c>
      <c r="AC30" s="17">
        <v>5000.0</v>
      </c>
      <c r="AD30" s="20">
        <f>1800+1700</f>
        <v>3500</v>
      </c>
      <c r="AE30" s="20">
        <v>0.0</v>
      </c>
      <c r="AF30" s="20">
        <v>0.0</v>
      </c>
      <c r="AG30" s="20">
        <v>0.0</v>
      </c>
      <c r="AH30" s="19">
        <f t="shared" si="6"/>
        <v>95663</v>
      </c>
    </row>
    <row r="31">
      <c r="A31" s="16" t="s">
        <v>31</v>
      </c>
      <c r="B31" s="27">
        <f t="shared" si="5"/>
        <v>0.01085669832</v>
      </c>
      <c r="C31" s="20">
        <v>0.0</v>
      </c>
      <c r="D31" s="20">
        <v>0.0</v>
      </c>
      <c r="E31" s="20">
        <v>0.0</v>
      </c>
      <c r="F31" s="20">
        <v>0.0</v>
      </c>
      <c r="G31" s="20">
        <v>0.0</v>
      </c>
      <c r="H31" s="20">
        <v>0.0</v>
      </c>
      <c r="I31" s="17">
        <v>80400.0</v>
      </c>
      <c r="J31" s="20">
        <v>0.0</v>
      </c>
      <c r="K31" s="20">
        <v>0.0</v>
      </c>
      <c r="L31" s="20">
        <v>0.0</v>
      </c>
      <c r="M31" s="20">
        <v>0.0</v>
      </c>
      <c r="N31" s="20">
        <v>0.0</v>
      </c>
      <c r="O31" s="17">
        <v>241218.0</v>
      </c>
      <c r="P31" s="20">
        <v>0.0</v>
      </c>
      <c r="Q31" s="20">
        <v>0.0</v>
      </c>
      <c r="R31" s="20">
        <v>0.0</v>
      </c>
      <c r="S31" s="20">
        <v>0.0</v>
      </c>
      <c r="T31" s="20">
        <v>0.0</v>
      </c>
      <c r="U31" s="17">
        <v>74000.0</v>
      </c>
      <c r="V31" s="20">
        <v>0.0</v>
      </c>
      <c r="W31" s="20">
        <v>0.0</v>
      </c>
      <c r="X31" s="20">
        <v>0.0</v>
      </c>
      <c r="Y31" s="20">
        <v>0.0</v>
      </c>
      <c r="Z31" s="20">
        <v>0.0</v>
      </c>
      <c r="AA31" s="20">
        <v>0.0</v>
      </c>
      <c r="AB31" s="20">
        <v>0.0</v>
      </c>
      <c r="AC31" s="20">
        <v>0.0</v>
      </c>
      <c r="AD31" s="20">
        <v>0.0</v>
      </c>
      <c r="AE31" s="20">
        <v>0.0</v>
      </c>
      <c r="AF31" s="20">
        <v>0.0</v>
      </c>
      <c r="AG31" s="20">
        <v>0.0</v>
      </c>
      <c r="AH31" s="19">
        <f t="shared" si="6"/>
        <v>395618</v>
      </c>
    </row>
    <row r="32">
      <c r="A32" s="7"/>
      <c r="B32" s="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7"/>
      <c r="AH32" s="7"/>
    </row>
    <row r="33">
      <c r="A33" s="31" t="s">
        <v>32</v>
      </c>
      <c r="B33" s="32">
        <f t="shared" ref="B33:B62" si="8">AH33/$AH$10</f>
        <v>0.2270138534</v>
      </c>
      <c r="C33" s="33">
        <f t="shared" ref="C33:AH33" si="7">sum(C34+C54+C64)</f>
        <v>0</v>
      </c>
      <c r="D33" s="33">
        <f t="shared" si="7"/>
        <v>0</v>
      </c>
      <c r="E33" s="33">
        <f t="shared" si="7"/>
        <v>68735</v>
      </c>
      <c r="F33" s="33">
        <f t="shared" si="7"/>
        <v>60000</v>
      </c>
      <c r="G33" s="33">
        <f t="shared" si="7"/>
        <v>0</v>
      </c>
      <c r="H33" s="33">
        <f t="shared" si="7"/>
        <v>318870</v>
      </c>
      <c r="I33" s="33">
        <f t="shared" si="7"/>
        <v>1832719</v>
      </c>
      <c r="J33" s="33">
        <f t="shared" si="7"/>
        <v>3951</v>
      </c>
      <c r="K33" s="33">
        <f t="shared" si="7"/>
        <v>0</v>
      </c>
      <c r="L33" s="33">
        <f t="shared" si="7"/>
        <v>0</v>
      </c>
      <c r="M33" s="33">
        <f t="shared" si="7"/>
        <v>0</v>
      </c>
      <c r="N33" s="33">
        <f t="shared" si="7"/>
        <v>0</v>
      </c>
      <c r="O33" s="33">
        <f t="shared" si="7"/>
        <v>0</v>
      </c>
      <c r="P33" s="33">
        <f t="shared" si="7"/>
        <v>2634042</v>
      </c>
      <c r="Q33" s="33">
        <f t="shared" si="7"/>
        <v>0</v>
      </c>
      <c r="R33" s="33">
        <f t="shared" si="7"/>
        <v>0</v>
      </c>
      <c r="S33" s="33">
        <f t="shared" si="7"/>
        <v>964964</v>
      </c>
      <c r="T33" s="33">
        <f t="shared" si="7"/>
        <v>0</v>
      </c>
      <c r="U33" s="33">
        <f t="shared" si="7"/>
        <v>0</v>
      </c>
      <c r="V33" s="33">
        <f t="shared" si="7"/>
        <v>60000</v>
      </c>
      <c r="W33" s="33">
        <f t="shared" si="7"/>
        <v>97500</v>
      </c>
      <c r="X33" s="33">
        <f t="shared" si="7"/>
        <v>0</v>
      </c>
      <c r="Y33" s="33">
        <f t="shared" si="7"/>
        <v>6550</v>
      </c>
      <c r="Z33" s="33">
        <f t="shared" si="7"/>
        <v>234505</v>
      </c>
      <c r="AA33" s="33">
        <f t="shared" si="7"/>
        <v>893698</v>
      </c>
      <c r="AB33" s="33">
        <f t="shared" si="7"/>
        <v>0</v>
      </c>
      <c r="AC33" s="33">
        <f t="shared" si="7"/>
        <v>0</v>
      </c>
      <c r="AD33" s="33">
        <f t="shared" si="7"/>
        <v>101859</v>
      </c>
      <c r="AE33" s="33">
        <f t="shared" si="7"/>
        <v>0</v>
      </c>
      <c r="AF33" s="33">
        <f t="shared" si="7"/>
        <v>994990</v>
      </c>
      <c r="AG33" s="33">
        <f t="shared" si="7"/>
        <v>0</v>
      </c>
      <c r="AH33" s="34">
        <f t="shared" si="7"/>
        <v>8272383</v>
      </c>
    </row>
    <row r="34">
      <c r="A34" s="35" t="s">
        <v>33</v>
      </c>
      <c r="B34" s="36">
        <f t="shared" si="8"/>
        <v>0.1923463649</v>
      </c>
      <c r="C34" s="37">
        <f t="shared" ref="C34:AH34" si="9">sum(C35:C53)</f>
        <v>0</v>
      </c>
      <c r="D34" s="37">
        <f t="shared" si="9"/>
        <v>0</v>
      </c>
      <c r="E34" s="37">
        <f t="shared" si="9"/>
        <v>0</v>
      </c>
      <c r="F34" s="37">
        <f t="shared" si="9"/>
        <v>0</v>
      </c>
      <c r="G34" s="37">
        <f t="shared" si="9"/>
        <v>0</v>
      </c>
      <c r="H34" s="37">
        <f t="shared" si="9"/>
        <v>209823</v>
      </c>
      <c r="I34" s="37">
        <f t="shared" si="9"/>
        <v>1832719</v>
      </c>
      <c r="J34" s="37">
        <f t="shared" si="9"/>
        <v>0</v>
      </c>
      <c r="K34" s="37">
        <f t="shared" si="9"/>
        <v>0</v>
      </c>
      <c r="L34" s="37">
        <f t="shared" si="9"/>
        <v>0</v>
      </c>
      <c r="M34" s="37">
        <f t="shared" si="9"/>
        <v>0</v>
      </c>
      <c r="N34" s="37">
        <f t="shared" si="9"/>
        <v>0</v>
      </c>
      <c r="O34" s="37">
        <f t="shared" si="9"/>
        <v>0</v>
      </c>
      <c r="P34" s="37">
        <f t="shared" si="9"/>
        <v>2634042</v>
      </c>
      <c r="Q34" s="37">
        <f t="shared" si="9"/>
        <v>0</v>
      </c>
      <c r="R34" s="37">
        <f t="shared" si="9"/>
        <v>0</v>
      </c>
      <c r="S34" s="37">
        <f t="shared" si="9"/>
        <v>964964</v>
      </c>
      <c r="T34" s="37">
        <f t="shared" si="9"/>
        <v>0</v>
      </c>
      <c r="U34" s="37">
        <f t="shared" si="9"/>
        <v>0</v>
      </c>
      <c r="V34" s="37">
        <f t="shared" si="9"/>
        <v>0</v>
      </c>
      <c r="W34" s="37">
        <f t="shared" si="9"/>
        <v>0</v>
      </c>
      <c r="X34" s="37">
        <f t="shared" si="9"/>
        <v>0</v>
      </c>
      <c r="Y34" s="37">
        <f t="shared" si="9"/>
        <v>6550</v>
      </c>
      <c r="Z34" s="37">
        <f t="shared" si="9"/>
        <v>77314</v>
      </c>
      <c r="AA34" s="37">
        <f t="shared" si="9"/>
        <v>893698</v>
      </c>
      <c r="AB34" s="37">
        <f t="shared" si="9"/>
        <v>0</v>
      </c>
      <c r="AC34" s="37">
        <f t="shared" si="9"/>
        <v>0</v>
      </c>
      <c r="AD34" s="37">
        <f t="shared" si="9"/>
        <v>0</v>
      </c>
      <c r="AE34" s="37">
        <f t="shared" si="9"/>
        <v>0</v>
      </c>
      <c r="AF34" s="37">
        <f t="shared" si="9"/>
        <v>389990</v>
      </c>
      <c r="AG34" s="37">
        <f t="shared" si="9"/>
        <v>0</v>
      </c>
      <c r="AH34" s="38">
        <f t="shared" si="9"/>
        <v>7009100</v>
      </c>
    </row>
    <row r="35">
      <c r="A35" s="16" t="s">
        <v>34</v>
      </c>
      <c r="B35" s="27">
        <f t="shared" si="8"/>
        <v>0.03793894905</v>
      </c>
      <c r="C35" s="20">
        <v>0.0</v>
      </c>
      <c r="D35" s="20">
        <v>0.0</v>
      </c>
      <c r="E35" s="20">
        <v>0.0</v>
      </c>
      <c r="F35" s="20">
        <v>0.0</v>
      </c>
      <c r="G35" s="20">
        <v>0.0</v>
      </c>
      <c r="H35" s="20">
        <v>0.0</v>
      </c>
      <c r="I35" s="20">
        <v>0.0</v>
      </c>
      <c r="J35" s="20">
        <v>0.0</v>
      </c>
      <c r="K35" s="20">
        <v>0.0</v>
      </c>
      <c r="L35" s="20">
        <v>0.0</v>
      </c>
      <c r="M35" s="20">
        <v>0.0</v>
      </c>
      <c r="N35" s="20">
        <v>0.0</v>
      </c>
      <c r="O35" s="20">
        <v>0.0</v>
      </c>
      <c r="P35" s="20">
        <v>0.0</v>
      </c>
      <c r="Q35" s="20">
        <v>0.0</v>
      </c>
      <c r="R35" s="20">
        <v>0.0</v>
      </c>
      <c r="S35" s="20">
        <f>363919+131378</f>
        <v>495297</v>
      </c>
      <c r="T35" s="20">
        <v>0.0</v>
      </c>
      <c r="U35" s="20">
        <v>0.0</v>
      </c>
      <c r="V35" s="20">
        <v>0.0</v>
      </c>
      <c r="W35" s="20">
        <v>0.0</v>
      </c>
      <c r="X35" s="20">
        <v>0.0</v>
      </c>
      <c r="Y35" s="20">
        <v>0.0</v>
      </c>
      <c r="Z35" s="20">
        <v>0.0</v>
      </c>
      <c r="AA35" s="17">
        <v>887198.0</v>
      </c>
      <c r="AB35" s="20">
        <v>0.0</v>
      </c>
      <c r="AC35" s="20">
        <v>0.0</v>
      </c>
      <c r="AD35" s="20">
        <v>0.0</v>
      </c>
      <c r="AE35" s="20">
        <v>0.0</v>
      </c>
      <c r="AF35" s="20">
        <v>0.0</v>
      </c>
      <c r="AG35" s="20">
        <v>0.0</v>
      </c>
      <c r="AH35" s="19">
        <f t="shared" ref="AH35:AH53" si="10">SUM(C35:AG35)</f>
        <v>1382495</v>
      </c>
    </row>
    <row r="36">
      <c r="A36" s="16" t="s">
        <v>35</v>
      </c>
      <c r="B36" s="27">
        <f t="shared" si="8"/>
        <v>0.001507958619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20">
        <v>0.0</v>
      </c>
      <c r="R36" s="20">
        <v>0.0</v>
      </c>
      <c r="S36" s="17">
        <v>54950.0</v>
      </c>
      <c r="T36" s="20">
        <v>0.0</v>
      </c>
      <c r="U36" s="20">
        <v>0.0</v>
      </c>
      <c r="V36" s="20">
        <v>0.0</v>
      </c>
      <c r="W36" s="20">
        <v>0.0</v>
      </c>
      <c r="X36" s="20">
        <v>0.0</v>
      </c>
      <c r="Y36" s="20">
        <v>0.0</v>
      </c>
      <c r="Z36" s="20">
        <v>0.0</v>
      </c>
      <c r="AA36" s="20">
        <v>0.0</v>
      </c>
      <c r="AB36" s="20">
        <v>0.0</v>
      </c>
      <c r="AC36" s="20">
        <v>0.0</v>
      </c>
      <c r="AD36" s="20">
        <v>0.0</v>
      </c>
      <c r="AE36" s="20">
        <v>0.0</v>
      </c>
      <c r="AF36" s="20">
        <v>0.0</v>
      </c>
      <c r="AG36" s="20">
        <v>0.0</v>
      </c>
      <c r="AH36" s="19">
        <f t="shared" si="10"/>
        <v>54950</v>
      </c>
    </row>
    <row r="37">
      <c r="A37" s="16" t="s">
        <v>36</v>
      </c>
      <c r="B37" s="27">
        <f t="shared" si="8"/>
        <v>0.009742592699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17">
        <v>355020.0</v>
      </c>
      <c r="T37" s="20">
        <v>0.0</v>
      </c>
      <c r="U37" s="20">
        <v>0.0</v>
      </c>
      <c r="V37" s="20">
        <v>0.0</v>
      </c>
      <c r="W37" s="20">
        <v>0.0</v>
      </c>
      <c r="X37" s="20">
        <v>0.0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20">
        <v>0.0</v>
      </c>
      <c r="AF37" s="20">
        <v>0.0</v>
      </c>
      <c r="AG37" s="20">
        <v>0.0</v>
      </c>
      <c r="AH37" s="19">
        <f t="shared" si="10"/>
        <v>355020</v>
      </c>
    </row>
    <row r="38">
      <c r="A38" s="16" t="s">
        <v>37</v>
      </c>
      <c r="B38" s="27">
        <f t="shared" si="8"/>
        <v>0</v>
      </c>
      <c r="C38" s="20">
        <v>0.0</v>
      </c>
      <c r="D38" s="20">
        <v>0.0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20">
        <v>0.0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0.0</v>
      </c>
      <c r="R38" s="20">
        <v>0.0</v>
      </c>
      <c r="S38" s="20">
        <v>0.0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0.0</v>
      </c>
      <c r="Z38" s="20">
        <v>0.0</v>
      </c>
      <c r="AA38" s="20">
        <v>0.0</v>
      </c>
      <c r="AB38" s="20">
        <v>0.0</v>
      </c>
      <c r="AC38" s="20">
        <v>0.0</v>
      </c>
      <c r="AD38" s="20">
        <v>0.0</v>
      </c>
      <c r="AE38" s="20">
        <v>0.0</v>
      </c>
      <c r="AF38" s="20">
        <v>0.0</v>
      </c>
      <c r="AG38" s="20">
        <v>0.0</v>
      </c>
      <c r="AH38" s="19">
        <f t="shared" si="10"/>
        <v>0</v>
      </c>
    </row>
    <row r="39">
      <c r="A39" s="16" t="s">
        <v>38</v>
      </c>
      <c r="B39" s="27">
        <f t="shared" si="8"/>
        <v>0.005758041879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f>90777+119046</f>
        <v>209823</v>
      </c>
      <c r="I39" s="20">
        <v>0.0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  <c r="V39" s="20">
        <v>0.0</v>
      </c>
      <c r="W39" s="20">
        <v>0.0</v>
      </c>
      <c r="X39" s="20">
        <v>0.0</v>
      </c>
      <c r="Y39" s="20">
        <v>0.0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>
        <v>0.0</v>
      </c>
      <c r="AH39" s="19">
        <f t="shared" si="10"/>
        <v>209823</v>
      </c>
    </row>
    <row r="40">
      <c r="A40" s="16" t="s">
        <v>39</v>
      </c>
      <c r="B40" s="27">
        <f t="shared" si="8"/>
        <v>0.001314105667</v>
      </c>
      <c r="C40" s="20">
        <v>0.0</v>
      </c>
      <c r="D40" s="20">
        <v>0.0</v>
      </c>
      <c r="E40" s="20">
        <v>0.0</v>
      </c>
      <c r="F40" s="20">
        <v>0.0</v>
      </c>
      <c r="G40" s="20">
        <v>0.0</v>
      </c>
      <c r="H40" s="20">
        <v>0.0</v>
      </c>
      <c r="I40" s="20">
        <v>0.0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20">
        <v>0.0</v>
      </c>
      <c r="P40" s="20">
        <v>0.0</v>
      </c>
      <c r="Q40" s="20">
        <v>0.0</v>
      </c>
      <c r="R40" s="20">
        <v>0.0</v>
      </c>
      <c r="S40" s="17">
        <v>47886.0</v>
      </c>
      <c r="T40" s="20">
        <v>0.0</v>
      </c>
      <c r="U40" s="20">
        <v>0.0</v>
      </c>
      <c r="V40" s="20">
        <v>0.0</v>
      </c>
      <c r="W40" s="20">
        <v>0.0</v>
      </c>
      <c r="X40" s="20">
        <v>0.0</v>
      </c>
      <c r="Y40" s="20">
        <v>0.0</v>
      </c>
      <c r="Z40" s="20">
        <v>0.0</v>
      </c>
      <c r="AA40" s="20">
        <v>0.0</v>
      </c>
      <c r="AB40" s="20">
        <v>0.0</v>
      </c>
      <c r="AC40" s="20">
        <v>0.0</v>
      </c>
      <c r="AD40" s="20">
        <v>0.0</v>
      </c>
      <c r="AE40" s="20">
        <v>0.0</v>
      </c>
      <c r="AF40" s="20">
        <v>0.0</v>
      </c>
      <c r="AG40" s="20">
        <v>0.0</v>
      </c>
      <c r="AH40" s="19">
        <f t="shared" si="10"/>
        <v>47886</v>
      </c>
    </row>
    <row r="41">
      <c r="A41" s="16" t="s">
        <v>40</v>
      </c>
      <c r="B41" s="27">
        <f t="shared" si="8"/>
        <v>0.0003241219153</v>
      </c>
      <c r="C41" s="20">
        <v>0.0</v>
      </c>
      <c r="D41" s="20">
        <v>0.0</v>
      </c>
      <c r="E41" s="20">
        <v>0.0</v>
      </c>
      <c r="F41" s="20">
        <v>0.0</v>
      </c>
      <c r="G41" s="20">
        <v>0.0</v>
      </c>
      <c r="H41" s="20">
        <v>0.0</v>
      </c>
      <c r="I41" s="20">
        <v>0.0</v>
      </c>
      <c r="J41" s="20">
        <v>0.0</v>
      </c>
      <c r="K41" s="20">
        <v>0.0</v>
      </c>
      <c r="L41" s="20">
        <v>0.0</v>
      </c>
      <c r="M41" s="20">
        <v>0.0</v>
      </c>
      <c r="N41" s="20">
        <v>0.0</v>
      </c>
      <c r="O41" s="20">
        <v>0.0</v>
      </c>
      <c r="P41" s="20">
        <v>0.0</v>
      </c>
      <c r="Q41" s="20">
        <v>0.0</v>
      </c>
      <c r="R41" s="20">
        <v>0.0</v>
      </c>
      <c r="S41" s="17">
        <v>11811.0</v>
      </c>
      <c r="T41" s="20">
        <v>0.0</v>
      </c>
      <c r="U41" s="20">
        <v>0.0</v>
      </c>
      <c r="V41" s="20">
        <v>0.0</v>
      </c>
      <c r="W41" s="20">
        <v>0.0</v>
      </c>
      <c r="X41" s="20">
        <v>0.0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20">
        <v>0.0</v>
      </c>
      <c r="AE41" s="20">
        <v>0.0</v>
      </c>
      <c r="AF41" s="20">
        <v>0.0</v>
      </c>
      <c r="AG41" s="20">
        <v>0.0</v>
      </c>
      <c r="AH41" s="19">
        <f t="shared" si="10"/>
        <v>11811</v>
      </c>
    </row>
    <row r="42">
      <c r="A42" s="16" t="s">
        <v>41</v>
      </c>
      <c r="B42" s="27">
        <f t="shared" si="8"/>
        <v>0.009604831966</v>
      </c>
      <c r="C42" s="20">
        <v>0.0</v>
      </c>
      <c r="D42" s="20">
        <v>0.0</v>
      </c>
      <c r="E42" s="20">
        <v>0.0</v>
      </c>
      <c r="F42" s="20">
        <v>0.0</v>
      </c>
      <c r="G42" s="20">
        <v>0.0</v>
      </c>
      <c r="H42" s="20">
        <v>0.0</v>
      </c>
      <c r="I42" s="20">
        <v>0.0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0.0</v>
      </c>
      <c r="AF42" s="17">
        <v>350000.0</v>
      </c>
      <c r="AG42" s="20">
        <v>0.0</v>
      </c>
      <c r="AH42" s="19">
        <f t="shared" si="10"/>
        <v>350000</v>
      </c>
    </row>
    <row r="43">
      <c r="A43" s="16" t="s">
        <v>42</v>
      </c>
      <c r="B43" s="27">
        <f t="shared" si="8"/>
        <v>0.05029416582</v>
      </c>
      <c r="C43" s="20">
        <v>0.0</v>
      </c>
      <c r="D43" s="20">
        <v>0.0</v>
      </c>
      <c r="E43" s="20">
        <v>0.0</v>
      </c>
      <c r="F43" s="20">
        <v>0.0</v>
      </c>
      <c r="G43" s="20">
        <v>0.0</v>
      </c>
      <c r="H43" s="20">
        <v>0.0</v>
      </c>
      <c r="I43" s="17">
        <v>1832719.0</v>
      </c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20">
        <v>0.0</v>
      </c>
      <c r="AD43" s="20">
        <v>0.0</v>
      </c>
      <c r="AE43" s="20">
        <v>0.0</v>
      </c>
      <c r="AF43" s="20">
        <v>0.0</v>
      </c>
      <c r="AG43" s="20">
        <v>0.0</v>
      </c>
      <c r="AH43" s="19">
        <f t="shared" si="10"/>
        <v>1832719</v>
      </c>
    </row>
    <row r="44">
      <c r="A44" s="16" t="s">
        <v>43</v>
      </c>
      <c r="B44" s="27">
        <f t="shared" si="8"/>
        <v>0</v>
      </c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20">
        <v>0.0</v>
      </c>
      <c r="J44" s="20">
        <v>0.0</v>
      </c>
      <c r="K44" s="20">
        <v>0.0</v>
      </c>
      <c r="L44" s="20">
        <v>0.0</v>
      </c>
      <c r="M44" s="20">
        <v>0.0</v>
      </c>
      <c r="N44" s="20">
        <v>0.0</v>
      </c>
      <c r="O44" s="20">
        <v>0.0</v>
      </c>
      <c r="P44" s="20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20">
        <v>0.0</v>
      </c>
      <c r="W44" s="20">
        <v>0.0</v>
      </c>
      <c r="X44" s="20">
        <v>0.0</v>
      </c>
      <c r="Y44" s="20">
        <v>0.0</v>
      </c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20">
        <v>0.0</v>
      </c>
      <c r="AF44" s="20">
        <v>0.0</v>
      </c>
      <c r="AG44" s="20">
        <v>0.0</v>
      </c>
      <c r="AH44" s="19">
        <f t="shared" si="10"/>
        <v>0</v>
      </c>
    </row>
    <row r="45">
      <c r="A45" s="28" t="s">
        <v>44</v>
      </c>
      <c r="B45" s="27">
        <f t="shared" si="8"/>
        <v>0.002121679939</v>
      </c>
      <c r="C45" s="20">
        <v>0.0</v>
      </c>
      <c r="D45" s="20">
        <v>0.0</v>
      </c>
      <c r="E45" s="20">
        <v>0.0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0">
        <v>0.0</v>
      </c>
      <c r="M45" s="20">
        <v>0.0</v>
      </c>
      <c r="N45" s="20">
        <v>0.0</v>
      </c>
      <c r="O45" s="20">
        <v>0.0</v>
      </c>
      <c r="P45" s="20">
        <v>0.0</v>
      </c>
      <c r="Q45" s="20">
        <v>0.0</v>
      </c>
      <c r="R45" s="20">
        <v>0.0</v>
      </c>
      <c r="S45" s="20">
        <v>0.0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17">
        <v>77314.0</v>
      </c>
      <c r="AA45" s="20">
        <v>0.0</v>
      </c>
      <c r="AB45" s="20">
        <v>0.0</v>
      </c>
      <c r="AC45" s="20">
        <v>0.0</v>
      </c>
      <c r="AD45" s="20">
        <v>0.0</v>
      </c>
      <c r="AE45" s="20">
        <v>0.0</v>
      </c>
      <c r="AF45" s="20">
        <v>0.0</v>
      </c>
      <c r="AG45" s="20">
        <v>0.0</v>
      </c>
      <c r="AH45" s="19">
        <f t="shared" si="10"/>
        <v>77314</v>
      </c>
    </row>
    <row r="46">
      <c r="A46" s="16" t="s">
        <v>45</v>
      </c>
      <c r="B46" s="27">
        <f t="shared" si="8"/>
        <v>0</v>
      </c>
      <c r="C46" s="20">
        <v>0.0</v>
      </c>
      <c r="D46" s="20">
        <v>0.0</v>
      </c>
      <c r="E46" s="20">
        <v>0.0</v>
      </c>
      <c r="F46" s="20">
        <v>0.0</v>
      </c>
      <c r="G46" s="20">
        <v>0.0</v>
      </c>
      <c r="H46" s="20">
        <v>0.0</v>
      </c>
      <c r="I46" s="20">
        <v>0.0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  <c r="V46" s="20">
        <v>0.0</v>
      </c>
      <c r="W46" s="20">
        <v>0.0</v>
      </c>
      <c r="X46" s="20">
        <v>0.0</v>
      </c>
      <c r="Y46" s="20">
        <v>0.0</v>
      </c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20">
        <v>0.0</v>
      </c>
      <c r="AF46" s="20">
        <v>0.0</v>
      </c>
      <c r="AG46" s="20">
        <v>0.0</v>
      </c>
      <c r="AH46" s="19">
        <f t="shared" si="10"/>
        <v>0</v>
      </c>
    </row>
    <row r="47">
      <c r="A47" s="16" t="s">
        <v>46</v>
      </c>
      <c r="B47" s="27">
        <f t="shared" si="8"/>
        <v>0.001097420658</v>
      </c>
      <c r="C47" s="20">
        <v>0.0</v>
      </c>
      <c r="D47" s="20">
        <v>0.0</v>
      </c>
      <c r="E47" s="20">
        <v>0.0</v>
      </c>
      <c r="F47" s="20">
        <v>0.0</v>
      </c>
      <c r="G47" s="20">
        <v>0.0</v>
      </c>
      <c r="H47" s="20">
        <v>0.0</v>
      </c>
      <c r="I47" s="20">
        <v>0.0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0">
        <v>0.0</v>
      </c>
      <c r="Q47" s="20">
        <v>0.0</v>
      </c>
      <c r="R47" s="20">
        <v>0.0</v>
      </c>
      <c r="S47" s="20">
        <v>0.0</v>
      </c>
      <c r="T47" s="20">
        <v>0.0</v>
      </c>
      <c r="U47" s="20">
        <v>0.0</v>
      </c>
      <c r="V47" s="20">
        <v>0.0</v>
      </c>
      <c r="W47" s="20">
        <v>0.0</v>
      </c>
      <c r="X47" s="20">
        <v>0.0</v>
      </c>
      <c r="Y47" s="20">
        <v>0.0</v>
      </c>
      <c r="Z47" s="20">
        <v>0.0</v>
      </c>
      <c r="AA47" s="20">
        <v>0.0</v>
      </c>
      <c r="AB47" s="20">
        <v>0.0</v>
      </c>
      <c r="AC47" s="20">
        <v>0.0</v>
      </c>
      <c r="AD47" s="20">
        <v>0.0</v>
      </c>
      <c r="AE47" s="20">
        <v>0.0</v>
      </c>
      <c r="AF47" s="17">
        <v>39990.0</v>
      </c>
      <c r="AG47" s="20">
        <v>0.0</v>
      </c>
      <c r="AH47" s="19">
        <f t="shared" si="10"/>
        <v>39990</v>
      </c>
    </row>
    <row r="48">
      <c r="A48" s="16" t="s">
        <v>47</v>
      </c>
      <c r="B48" s="27">
        <f t="shared" si="8"/>
        <v>0.0001783754508</v>
      </c>
      <c r="C48" s="20">
        <v>0.0</v>
      </c>
      <c r="D48" s="20">
        <v>0.0</v>
      </c>
      <c r="E48" s="20">
        <v>0.0</v>
      </c>
      <c r="F48" s="20">
        <v>0.0</v>
      </c>
      <c r="G48" s="20">
        <v>0.0</v>
      </c>
      <c r="H48" s="20">
        <v>0.0</v>
      </c>
      <c r="I48" s="20">
        <v>0.0</v>
      </c>
      <c r="J48" s="20">
        <v>0.0</v>
      </c>
      <c r="K48" s="20">
        <v>0.0</v>
      </c>
      <c r="L48" s="20">
        <v>0.0</v>
      </c>
      <c r="M48" s="20">
        <v>0.0</v>
      </c>
      <c r="N48" s="20">
        <v>0.0</v>
      </c>
      <c r="O48" s="20">
        <v>0.0</v>
      </c>
      <c r="P48" s="20">
        <v>0.0</v>
      </c>
      <c r="Q48" s="20">
        <v>0.0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20">
        <v>0.0</v>
      </c>
      <c r="Z48" s="20">
        <v>0.0</v>
      </c>
      <c r="AA48" s="17">
        <v>6500.0</v>
      </c>
      <c r="AB48" s="20">
        <v>0.0</v>
      </c>
      <c r="AC48" s="20">
        <v>0.0</v>
      </c>
      <c r="AD48" s="20">
        <v>0.0</v>
      </c>
      <c r="AE48" s="20">
        <v>0.0</v>
      </c>
      <c r="AF48" s="20">
        <v>0.0</v>
      </c>
      <c r="AG48" s="20">
        <v>0.0</v>
      </c>
      <c r="AH48" s="19">
        <f t="shared" si="10"/>
        <v>6500</v>
      </c>
    </row>
    <row r="49">
      <c r="A49" s="16" t="s">
        <v>48</v>
      </c>
      <c r="B49" s="27">
        <f t="shared" si="8"/>
        <v>0</v>
      </c>
      <c r="C49" s="20">
        <v>0.0</v>
      </c>
      <c r="D49" s="20">
        <v>0.0</v>
      </c>
      <c r="E49" s="20">
        <v>0.0</v>
      </c>
      <c r="F49" s="20">
        <v>0.0</v>
      </c>
      <c r="G49" s="20">
        <v>0.0</v>
      </c>
      <c r="H49" s="20">
        <v>0.0</v>
      </c>
      <c r="I49" s="20">
        <v>0.0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0">
        <v>0.0</v>
      </c>
      <c r="P49" s="20">
        <v>0.0</v>
      </c>
      <c r="Q49" s="20">
        <v>0.0</v>
      </c>
      <c r="R49" s="20">
        <v>0.0</v>
      </c>
      <c r="S49" s="20">
        <v>0.0</v>
      </c>
      <c r="T49" s="20">
        <v>0.0</v>
      </c>
      <c r="U49" s="20">
        <v>0.0</v>
      </c>
      <c r="V49" s="20">
        <v>0.0</v>
      </c>
      <c r="W49" s="20">
        <v>0.0</v>
      </c>
      <c r="X49" s="20">
        <v>0.0</v>
      </c>
      <c r="Y49" s="20">
        <v>0.0</v>
      </c>
      <c r="Z49" s="20">
        <v>0.0</v>
      </c>
      <c r="AA49" s="20">
        <v>0.0</v>
      </c>
      <c r="AB49" s="20">
        <v>0.0</v>
      </c>
      <c r="AC49" s="20">
        <v>0.0</v>
      </c>
      <c r="AD49" s="20">
        <v>0.0</v>
      </c>
      <c r="AE49" s="20">
        <v>0.0</v>
      </c>
      <c r="AF49" s="20">
        <v>0.0</v>
      </c>
      <c r="AG49" s="20">
        <v>0.0</v>
      </c>
      <c r="AH49" s="19">
        <f t="shared" si="10"/>
        <v>0</v>
      </c>
    </row>
    <row r="50">
      <c r="A50" s="16" t="s">
        <v>49</v>
      </c>
      <c r="B50" s="27">
        <f t="shared" si="8"/>
        <v>0.0001797475696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20">
        <v>0.0</v>
      </c>
      <c r="N50" s="20">
        <v>0.0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17">
        <v>6550.0</v>
      </c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20">
        <v>0.0</v>
      </c>
      <c r="AF50" s="20">
        <v>0.0</v>
      </c>
      <c r="AG50" s="20">
        <v>0.0</v>
      </c>
      <c r="AH50" s="19">
        <f t="shared" si="10"/>
        <v>6550</v>
      </c>
    </row>
    <row r="51">
      <c r="A51" s="16" t="s">
        <v>50</v>
      </c>
      <c r="B51" s="27">
        <f t="shared" si="8"/>
        <v>0</v>
      </c>
      <c r="C51" s="20">
        <v>0.0</v>
      </c>
      <c r="D51" s="20">
        <v>0.0</v>
      </c>
      <c r="E51" s="20">
        <v>0.0</v>
      </c>
      <c r="F51" s="20">
        <v>0.0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  <c r="V51" s="20">
        <v>0.0</v>
      </c>
      <c r="W51" s="20">
        <v>0.0</v>
      </c>
      <c r="X51" s="20">
        <v>0.0</v>
      </c>
      <c r="Y51" s="20">
        <v>0.0</v>
      </c>
      <c r="Z51" s="20">
        <v>0.0</v>
      </c>
      <c r="AA51" s="20">
        <v>0.0</v>
      </c>
      <c r="AB51" s="20">
        <v>0.0</v>
      </c>
      <c r="AC51" s="20">
        <v>0.0</v>
      </c>
      <c r="AD51" s="20">
        <v>0.0</v>
      </c>
      <c r="AE51" s="20">
        <v>0.0</v>
      </c>
      <c r="AF51" s="20">
        <v>0.0</v>
      </c>
      <c r="AG51" s="20">
        <v>0.0</v>
      </c>
      <c r="AH51" s="19">
        <f t="shared" si="10"/>
        <v>0</v>
      </c>
    </row>
    <row r="52">
      <c r="A52" s="16" t="s">
        <v>51</v>
      </c>
      <c r="B52" s="27">
        <f t="shared" si="8"/>
        <v>0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0">
        <v>0.0</v>
      </c>
      <c r="M52" s="20">
        <v>0.0</v>
      </c>
      <c r="N52" s="20">
        <v>0.0</v>
      </c>
      <c r="O52" s="20">
        <v>0.0</v>
      </c>
      <c r="P52" s="20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20">
        <v>0.0</v>
      </c>
      <c r="X52" s="20">
        <v>0.0</v>
      </c>
      <c r="Y52" s="20">
        <v>0.0</v>
      </c>
      <c r="Z52" s="20">
        <v>0.0</v>
      </c>
      <c r="AA52" s="20">
        <v>0.0</v>
      </c>
      <c r="AB52" s="20">
        <v>0.0</v>
      </c>
      <c r="AC52" s="20">
        <v>0.0</v>
      </c>
      <c r="AD52" s="20">
        <v>0.0</v>
      </c>
      <c r="AE52" s="20">
        <v>0.0</v>
      </c>
      <c r="AF52" s="20">
        <v>0.0</v>
      </c>
      <c r="AG52" s="20">
        <v>0.0</v>
      </c>
      <c r="AH52" s="19">
        <f t="shared" si="10"/>
        <v>0</v>
      </c>
    </row>
    <row r="53">
      <c r="A53" s="16" t="s">
        <v>52</v>
      </c>
      <c r="B53" s="27">
        <f t="shared" si="8"/>
        <v>0.07228437372</v>
      </c>
      <c r="C53" s="20">
        <v>0.0</v>
      </c>
      <c r="D53" s="20">
        <v>0.0</v>
      </c>
      <c r="E53" s="20">
        <v>0.0</v>
      </c>
      <c r="F53" s="20">
        <v>0.0</v>
      </c>
      <c r="G53" s="20">
        <v>0.0</v>
      </c>
      <c r="H53" s="20">
        <v>0.0</v>
      </c>
      <c r="I53" s="20">
        <v>0.0</v>
      </c>
      <c r="J53" s="20">
        <v>0.0</v>
      </c>
      <c r="K53" s="20">
        <v>0.0</v>
      </c>
      <c r="L53" s="20">
        <v>0.0</v>
      </c>
      <c r="M53" s="20">
        <v>0.0</v>
      </c>
      <c r="N53" s="20">
        <v>0.0</v>
      </c>
      <c r="O53" s="20">
        <v>0.0</v>
      </c>
      <c r="P53" s="17">
        <v>2634042.0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  <c r="V53" s="20">
        <v>0.0</v>
      </c>
      <c r="W53" s="20">
        <v>0.0</v>
      </c>
      <c r="X53" s="20">
        <v>0.0</v>
      </c>
      <c r="Y53" s="20">
        <v>0.0</v>
      </c>
      <c r="Z53" s="20">
        <v>0.0</v>
      </c>
      <c r="AA53" s="20">
        <v>0.0</v>
      </c>
      <c r="AB53" s="20">
        <v>0.0</v>
      </c>
      <c r="AC53" s="20">
        <v>0.0</v>
      </c>
      <c r="AD53" s="20">
        <v>0.0</v>
      </c>
      <c r="AE53" s="20">
        <v>0.0</v>
      </c>
      <c r="AF53" s="20">
        <v>0.0</v>
      </c>
      <c r="AG53" s="20">
        <v>0.0</v>
      </c>
      <c r="AH53" s="19">
        <f t="shared" si="10"/>
        <v>2634042</v>
      </c>
    </row>
    <row r="54">
      <c r="A54" s="35" t="s">
        <v>53</v>
      </c>
      <c r="B54" s="36">
        <f t="shared" si="8"/>
        <v>0.006214353724</v>
      </c>
      <c r="C54" s="37">
        <f t="shared" ref="C54:AE54" si="11">sum(C55:C62)</f>
        <v>0</v>
      </c>
      <c r="D54" s="37">
        <f t="shared" si="11"/>
        <v>0</v>
      </c>
      <c r="E54" s="37">
        <f t="shared" si="11"/>
        <v>0</v>
      </c>
      <c r="F54" s="37">
        <f t="shared" si="11"/>
        <v>60000</v>
      </c>
      <c r="G54" s="37">
        <f t="shared" si="11"/>
        <v>0</v>
      </c>
      <c r="H54" s="37">
        <f t="shared" si="11"/>
        <v>0</v>
      </c>
      <c r="I54" s="37">
        <f t="shared" si="11"/>
        <v>0</v>
      </c>
      <c r="J54" s="37">
        <f t="shared" si="11"/>
        <v>3951</v>
      </c>
      <c r="K54" s="37">
        <f t="shared" si="11"/>
        <v>0</v>
      </c>
      <c r="L54" s="37">
        <f t="shared" si="11"/>
        <v>0</v>
      </c>
      <c r="M54" s="37">
        <f t="shared" si="11"/>
        <v>0</v>
      </c>
      <c r="N54" s="37">
        <f t="shared" si="11"/>
        <v>0</v>
      </c>
      <c r="O54" s="37">
        <f t="shared" si="11"/>
        <v>0</v>
      </c>
      <c r="P54" s="37">
        <f t="shared" si="11"/>
        <v>0</v>
      </c>
      <c r="Q54" s="37">
        <f t="shared" si="11"/>
        <v>0</v>
      </c>
      <c r="R54" s="37">
        <f t="shared" si="11"/>
        <v>0</v>
      </c>
      <c r="S54" s="37">
        <f t="shared" si="11"/>
        <v>0</v>
      </c>
      <c r="T54" s="37">
        <f t="shared" si="11"/>
        <v>0</v>
      </c>
      <c r="U54" s="37">
        <f t="shared" si="11"/>
        <v>0</v>
      </c>
      <c r="V54" s="37">
        <f t="shared" si="11"/>
        <v>60000</v>
      </c>
      <c r="W54" s="37">
        <f t="shared" si="11"/>
        <v>97500</v>
      </c>
      <c r="X54" s="37">
        <f t="shared" si="11"/>
        <v>0</v>
      </c>
      <c r="Y54" s="37">
        <f t="shared" si="11"/>
        <v>0</v>
      </c>
      <c r="Z54" s="37">
        <f t="shared" si="11"/>
        <v>0</v>
      </c>
      <c r="AA54" s="37">
        <f t="shared" si="11"/>
        <v>0</v>
      </c>
      <c r="AB54" s="37">
        <f t="shared" si="11"/>
        <v>0</v>
      </c>
      <c r="AC54" s="37">
        <f t="shared" si="11"/>
        <v>0</v>
      </c>
      <c r="AD54" s="37">
        <f t="shared" si="11"/>
        <v>0</v>
      </c>
      <c r="AE54" s="37">
        <f t="shared" si="11"/>
        <v>0</v>
      </c>
      <c r="AF54" s="37">
        <f>SUM(AF55:AF62)</f>
        <v>5000</v>
      </c>
      <c r="AG54" s="37">
        <f>sum(AG55:AG62)</f>
        <v>0</v>
      </c>
      <c r="AH54" s="38">
        <f>SUM(AH55:AH62)</f>
        <v>226451</v>
      </c>
    </row>
    <row r="55">
      <c r="A55" s="16" t="s">
        <v>54</v>
      </c>
      <c r="B55" s="27">
        <f t="shared" si="8"/>
        <v>0.0001084248317</v>
      </c>
      <c r="C55" s="20">
        <v>0.0</v>
      </c>
      <c r="D55" s="20">
        <v>0.0</v>
      </c>
      <c r="E55" s="20">
        <v>0.0</v>
      </c>
      <c r="F55" s="20">
        <v>0.0</v>
      </c>
      <c r="G55" s="20">
        <v>0.0</v>
      </c>
      <c r="H55" s="20">
        <v>0.0</v>
      </c>
      <c r="I55" s="20">
        <v>0.0</v>
      </c>
      <c r="J55" s="17">
        <v>3951.0</v>
      </c>
      <c r="K55" s="20">
        <v>0.0</v>
      </c>
      <c r="L55" s="20">
        <v>0.0</v>
      </c>
      <c r="M55" s="20">
        <v>0.0</v>
      </c>
      <c r="N55" s="20">
        <v>0.0</v>
      </c>
      <c r="O55" s="20">
        <v>0.0</v>
      </c>
      <c r="P55" s="20">
        <v>0.0</v>
      </c>
      <c r="Q55" s="20">
        <v>0.0</v>
      </c>
      <c r="R55" s="20">
        <v>0.0</v>
      </c>
      <c r="S55" s="20">
        <v>0.0</v>
      </c>
      <c r="T55" s="20">
        <v>0.0</v>
      </c>
      <c r="U55" s="20">
        <v>0.0</v>
      </c>
      <c r="V55" s="20">
        <v>0.0</v>
      </c>
      <c r="W55" s="20">
        <v>0.0</v>
      </c>
      <c r="X55" s="20">
        <v>0.0</v>
      </c>
      <c r="Y55" s="20">
        <v>0.0</v>
      </c>
      <c r="Z55" s="20">
        <v>0.0</v>
      </c>
      <c r="AA55" s="20">
        <v>0.0</v>
      </c>
      <c r="AB55" s="20">
        <v>0.0</v>
      </c>
      <c r="AC55" s="20">
        <v>0.0</v>
      </c>
      <c r="AD55" s="20">
        <v>0.0</v>
      </c>
      <c r="AE55" s="20">
        <v>0.0</v>
      </c>
      <c r="AF55" s="20">
        <v>0.0</v>
      </c>
      <c r="AG55" s="20">
        <v>0.0</v>
      </c>
      <c r="AH55" s="19">
        <f t="shared" ref="AH55:AH62" si="12">SUM(C55:AG55)</f>
        <v>3951</v>
      </c>
    </row>
    <row r="56">
      <c r="A56" s="16" t="s">
        <v>55</v>
      </c>
      <c r="B56" s="27">
        <f t="shared" si="8"/>
        <v>0.003293085245</v>
      </c>
      <c r="C56" s="20">
        <v>0.0</v>
      </c>
      <c r="D56" s="20">
        <v>0.0</v>
      </c>
      <c r="E56" s="20">
        <v>0.0</v>
      </c>
      <c r="F56" s="17">
        <v>60000.0</v>
      </c>
      <c r="G56" s="20">
        <v>0.0</v>
      </c>
      <c r="H56" s="20">
        <v>0.0</v>
      </c>
      <c r="I56" s="20">
        <v>0.0</v>
      </c>
      <c r="J56" s="20">
        <v>0.0</v>
      </c>
      <c r="K56" s="20">
        <v>0.0</v>
      </c>
      <c r="L56" s="20">
        <v>0.0</v>
      </c>
      <c r="M56" s="20">
        <v>0.0</v>
      </c>
      <c r="N56" s="20">
        <v>0.0</v>
      </c>
      <c r="O56" s="20">
        <v>0.0</v>
      </c>
      <c r="P56" s="20">
        <v>0.0</v>
      </c>
      <c r="Q56" s="20">
        <v>0.0</v>
      </c>
      <c r="R56" s="20">
        <v>0.0</v>
      </c>
      <c r="S56" s="20">
        <v>0.0</v>
      </c>
      <c r="T56" s="20">
        <v>0.0</v>
      </c>
      <c r="U56" s="20">
        <v>0.0</v>
      </c>
      <c r="V56" s="17">
        <v>60000.0</v>
      </c>
      <c r="W56" s="20">
        <v>0.0</v>
      </c>
      <c r="X56" s="20">
        <v>0.0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20">
        <v>0.0</v>
      </c>
      <c r="AF56" s="20">
        <v>0.0</v>
      </c>
      <c r="AG56" s="20">
        <v>0.0</v>
      </c>
      <c r="AH56" s="19">
        <f t="shared" si="12"/>
        <v>120000</v>
      </c>
    </row>
    <row r="57">
      <c r="A57" s="16" t="s">
        <v>56</v>
      </c>
      <c r="B57" s="27">
        <f t="shared" si="8"/>
        <v>0</v>
      </c>
      <c r="C57" s="20">
        <v>0.0</v>
      </c>
      <c r="D57" s="20">
        <v>0.0</v>
      </c>
      <c r="E57" s="20">
        <v>0.0</v>
      </c>
      <c r="F57" s="20">
        <v>0.0</v>
      </c>
      <c r="G57" s="20">
        <v>0.0</v>
      </c>
      <c r="H57" s="20">
        <v>0.0</v>
      </c>
      <c r="I57" s="20">
        <v>0.0</v>
      </c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  <c r="V57" s="20">
        <v>0.0</v>
      </c>
      <c r="W57" s="20">
        <v>0.0</v>
      </c>
      <c r="X57" s="20">
        <v>0.0</v>
      </c>
      <c r="Y57" s="20">
        <v>0.0</v>
      </c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19">
        <f t="shared" si="12"/>
        <v>0</v>
      </c>
    </row>
    <row r="58">
      <c r="A58" s="16" t="s">
        <v>57</v>
      </c>
      <c r="B58" s="27">
        <f t="shared" si="8"/>
        <v>0.0001372118852</v>
      </c>
      <c r="C58" s="20">
        <v>0.0</v>
      </c>
      <c r="D58" s="20">
        <v>0.0</v>
      </c>
      <c r="E58" s="20">
        <v>0.0</v>
      </c>
      <c r="F58" s="20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0">
        <v>0.0</v>
      </c>
      <c r="M58" s="20">
        <v>0.0</v>
      </c>
      <c r="N58" s="20">
        <v>0.0</v>
      </c>
      <c r="O58" s="20">
        <v>0.0</v>
      </c>
      <c r="P58" s="20">
        <v>0.0</v>
      </c>
      <c r="Q58" s="20">
        <v>0.0</v>
      </c>
      <c r="R58" s="20">
        <v>0.0</v>
      </c>
      <c r="S58" s="20">
        <v>0.0</v>
      </c>
      <c r="T58" s="20">
        <v>0.0</v>
      </c>
      <c r="U58" s="20">
        <v>0.0</v>
      </c>
      <c r="V58" s="20">
        <v>0.0</v>
      </c>
      <c r="W58" s="20">
        <v>0.0</v>
      </c>
      <c r="X58" s="20">
        <v>0.0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20">
        <v>0.0</v>
      </c>
      <c r="AE58" s="20">
        <v>0.0</v>
      </c>
      <c r="AF58" s="17">
        <v>5000.0</v>
      </c>
      <c r="AG58" s="20">
        <v>0.0</v>
      </c>
      <c r="AH58" s="19">
        <f t="shared" si="12"/>
        <v>5000</v>
      </c>
    </row>
    <row r="59">
      <c r="A59" s="16" t="s">
        <v>58</v>
      </c>
      <c r="B59" s="27">
        <f t="shared" si="8"/>
        <v>0</v>
      </c>
      <c r="C59" s="20">
        <v>0.0</v>
      </c>
      <c r="D59" s="20">
        <v>0.0</v>
      </c>
      <c r="E59" s="20">
        <v>0.0</v>
      </c>
      <c r="F59" s="20">
        <v>0.0</v>
      </c>
      <c r="G59" s="20">
        <v>0.0</v>
      </c>
      <c r="H59" s="20">
        <v>0.0</v>
      </c>
      <c r="I59" s="20">
        <v>0.0</v>
      </c>
      <c r="J59" s="20">
        <v>0.0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0.0</v>
      </c>
      <c r="S59" s="20">
        <v>0.0</v>
      </c>
      <c r="T59" s="20">
        <v>0.0</v>
      </c>
      <c r="U59" s="20">
        <v>0.0</v>
      </c>
      <c r="V59" s="20">
        <v>0.0</v>
      </c>
      <c r="W59" s="20">
        <v>0.0</v>
      </c>
      <c r="X59" s="20">
        <v>0.0</v>
      </c>
      <c r="Y59" s="20">
        <v>0.0</v>
      </c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20">
        <v>0.0</v>
      </c>
      <c r="AF59" s="20">
        <v>0.0</v>
      </c>
      <c r="AG59" s="20">
        <v>0.0</v>
      </c>
      <c r="AH59" s="19">
        <f t="shared" si="12"/>
        <v>0</v>
      </c>
    </row>
    <row r="60">
      <c r="A60" s="16" t="s">
        <v>59</v>
      </c>
      <c r="B60" s="27">
        <f t="shared" si="8"/>
        <v>0.00001372118852</v>
      </c>
      <c r="C60" s="20">
        <v>0.0</v>
      </c>
      <c r="D60" s="20">
        <v>0.0</v>
      </c>
      <c r="E60" s="20">
        <v>0.0</v>
      </c>
      <c r="F60" s="20">
        <v>0.0</v>
      </c>
      <c r="G60" s="20">
        <v>0.0</v>
      </c>
      <c r="H60" s="20">
        <v>0.0</v>
      </c>
      <c r="I60" s="20">
        <v>0.0</v>
      </c>
      <c r="J60" s="20">
        <v>0.0</v>
      </c>
      <c r="K60" s="20">
        <v>0.0</v>
      </c>
      <c r="L60" s="20">
        <v>0.0</v>
      </c>
      <c r="M60" s="20">
        <v>0.0</v>
      </c>
      <c r="N60" s="20">
        <v>0.0</v>
      </c>
      <c r="O60" s="20">
        <v>0.0</v>
      </c>
      <c r="P60" s="20">
        <v>0.0</v>
      </c>
      <c r="Q60" s="20">
        <v>0.0</v>
      </c>
      <c r="R60" s="20">
        <v>0.0</v>
      </c>
      <c r="S60" s="20">
        <v>0.0</v>
      </c>
      <c r="T60" s="20">
        <v>0.0</v>
      </c>
      <c r="U60" s="20">
        <v>0.0</v>
      </c>
      <c r="V60" s="20">
        <v>0.0</v>
      </c>
      <c r="W60" s="17">
        <v>500.0</v>
      </c>
      <c r="X60" s="20">
        <v>0.0</v>
      </c>
      <c r="Y60" s="20">
        <v>0.0</v>
      </c>
      <c r="Z60" s="20">
        <v>0.0</v>
      </c>
      <c r="AA60" s="20">
        <v>0.0</v>
      </c>
      <c r="AB60" s="20">
        <v>0.0</v>
      </c>
      <c r="AC60" s="20">
        <v>0.0</v>
      </c>
      <c r="AD60" s="20">
        <v>0.0</v>
      </c>
      <c r="AE60" s="20">
        <v>0.0</v>
      </c>
      <c r="AF60" s="20">
        <v>0.0</v>
      </c>
      <c r="AG60" s="20">
        <v>0.0</v>
      </c>
      <c r="AH60" s="19">
        <f t="shared" si="12"/>
        <v>500</v>
      </c>
    </row>
    <row r="61">
      <c r="A61" s="16" t="s">
        <v>60</v>
      </c>
      <c r="B61" s="27">
        <f t="shared" si="8"/>
        <v>0</v>
      </c>
      <c r="C61" s="20">
        <v>0.0</v>
      </c>
      <c r="D61" s="20">
        <v>0.0</v>
      </c>
      <c r="E61" s="20">
        <v>0.0</v>
      </c>
      <c r="F61" s="20">
        <v>0.0</v>
      </c>
      <c r="G61" s="20">
        <v>0.0</v>
      </c>
      <c r="H61" s="20">
        <v>0.0</v>
      </c>
      <c r="I61" s="20">
        <v>0.0</v>
      </c>
      <c r="J61" s="20">
        <v>0.0</v>
      </c>
      <c r="K61" s="20">
        <v>0.0</v>
      </c>
      <c r="L61" s="20">
        <v>0.0</v>
      </c>
      <c r="M61" s="20">
        <v>0.0</v>
      </c>
      <c r="N61" s="20">
        <v>0.0</v>
      </c>
      <c r="O61" s="20">
        <v>0.0</v>
      </c>
      <c r="P61" s="20">
        <v>0.0</v>
      </c>
      <c r="Q61" s="20">
        <v>0.0</v>
      </c>
      <c r="R61" s="20">
        <v>0.0</v>
      </c>
      <c r="S61" s="20">
        <v>0.0</v>
      </c>
      <c r="T61" s="20">
        <v>0.0</v>
      </c>
      <c r="U61" s="20">
        <v>0.0</v>
      </c>
      <c r="V61" s="20">
        <v>0.0</v>
      </c>
      <c r="W61" s="20">
        <v>0.0</v>
      </c>
      <c r="X61" s="20">
        <v>0.0</v>
      </c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19">
        <f t="shared" si="12"/>
        <v>0</v>
      </c>
    </row>
    <row r="62">
      <c r="A62" s="16" t="s">
        <v>61</v>
      </c>
      <c r="B62" s="27">
        <f t="shared" si="8"/>
        <v>0.002661910573</v>
      </c>
      <c r="C62" s="20">
        <v>0.0</v>
      </c>
      <c r="D62" s="20">
        <v>0.0</v>
      </c>
      <c r="E62" s="20">
        <v>0.0</v>
      </c>
      <c r="F62" s="20">
        <v>0.0</v>
      </c>
      <c r="G62" s="20">
        <v>0.0</v>
      </c>
      <c r="H62" s="20">
        <v>0.0</v>
      </c>
      <c r="I62" s="20">
        <v>0.0</v>
      </c>
      <c r="J62" s="20">
        <v>0.0</v>
      </c>
      <c r="K62" s="20">
        <v>0.0</v>
      </c>
      <c r="L62" s="20">
        <v>0.0</v>
      </c>
      <c r="M62" s="20">
        <v>0.0</v>
      </c>
      <c r="N62" s="20">
        <v>0.0</v>
      </c>
      <c r="O62" s="20">
        <v>0.0</v>
      </c>
      <c r="P62" s="20">
        <v>0.0</v>
      </c>
      <c r="Q62" s="20">
        <v>0.0</v>
      </c>
      <c r="R62" s="20">
        <v>0.0</v>
      </c>
      <c r="S62" s="20">
        <v>0.0</v>
      </c>
      <c r="T62" s="20">
        <v>0.0</v>
      </c>
      <c r="U62" s="20">
        <v>0.0</v>
      </c>
      <c r="V62" s="20">
        <v>0.0</v>
      </c>
      <c r="W62" s="17">
        <v>97000.0</v>
      </c>
      <c r="X62" s="20">
        <v>0.0</v>
      </c>
      <c r="Y62" s="20">
        <v>0.0</v>
      </c>
      <c r="Z62" s="20">
        <v>0.0</v>
      </c>
      <c r="AA62" s="20">
        <v>0.0</v>
      </c>
      <c r="AB62" s="20">
        <v>0.0</v>
      </c>
      <c r="AC62" s="20">
        <v>0.0</v>
      </c>
      <c r="AD62" s="20">
        <v>0.0</v>
      </c>
      <c r="AE62" s="20">
        <v>0.0</v>
      </c>
      <c r="AF62" s="20">
        <v>0.0</v>
      </c>
      <c r="AG62" s="20">
        <v>0.0</v>
      </c>
      <c r="AH62" s="19">
        <f t="shared" si="12"/>
        <v>97000</v>
      </c>
    </row>
    <row r="63">
      <c r="A63" s="7"/>
      <c r="B63" s="8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>
      <c r="A64" s="35" t="s">
        <v>62</v>
      </c>
      <c r="B64" s="36">
        <f t="shared" ref="B64:B75" si="15">AH64/$AH$10</f>
        <v>0.02845313468</v>
      </c>
      <c r="C64" s="37">
        <f t="shared" ref="C64:D64" si="13">sum(C65:C74)</f>
        <v>0</v>
      </c>
      <c r="D64" s="37">
        <f t="shared" si="13"/>
        <v>0</v>
      </c>
      <c r="E64" s="37">
        <f>sum(E65:E75)</f>
        <v>68735</v>
      </c>
      <c r="F64" s="37">
        <f t="shared" ref="F64:AG64" si="14">sum(F65:F74)</f>
        <v>0</v>
      </c>
      <c r="G64" s="37">
        <f t="shared" si="14"/>
        <v>0</v>
      </c>
      <c r="H64" s="37">
        <f t="shared" si="14"/>
        <v>109047</v>
      </c>
      <c r="I64" s="37">
        <f t="shared" si="14"/>
        <v>0</v>
      </c>
      <c r="J64" s="37">
        <f t="shared" si="14"/>
        <v>0</v>
      </c>
      <c r="K64" s="37">
        <f t="shared" si="14"/>
        <v>0</v>
      </c>
      <c r="L64" s="37">
        <f t="shared" si="14"/>
        <v>0</v>
      </c>
      <c r="M64" s="37">
        <f t="shared" si="14"/>
        <v>0</v>
      </c>
      <c r="N64" s="37">
        <f t="shared" si="14"/>
        <v>0</v>
      </c>
      <c r="O64" s="37">
        <f t="shared" si="14"/>
        <v>0</v>
      </c>
      <c r="P64" s="37">
        <f t="shared" si="14"/>
        <v>0</v>
      </c>
      <c r="Q64" s="37">
        <f t="shared" si="14"/>
        <v>0</v>
      </c>
      <c r="R64" s="37">
        <f t="shared" si="14"/>
        <v>0</v>
      </c>
      <c r="S64" s="37">
        <f t="shared" si="14"/>
        <v>0</v>
      </c>
      <c r="T64" s="37">
        <f t="shared" si="14"/>
        <v>0</v>
      </c>
      <c r="U64" s="37">
        <f t="shared" si="14"/>
        <v>0</v>
      </c>
      <c r="V64" s="37">
        <f t="shared" si="14"/>
        <v>0</v>
      </c>
      <c r="W64" s="37">
        <f t="shared" si="14"/>
        <v>0</v>
      </c>
      <c r="X64" s="37">
        <f t="shared" si="14"/>
        <v>0</v>
      </c>
      <c r="Y64" s="37">
        <f t="shared" si="14"/>
        <v>0</v>
      </c>
      <c r="Z64" s="37">
        <f t="shared" si="14"/>
        <v>157191</v>
      </c>
      <c r="AA64" s="37">
        <f t="shared" si="14"/>
        <v>0</v>
      </c>
      <c r="AB64" s="37">
        <f t="shared" si="14"/>
        <v>0</v>
      </c>
      <c r="AC64" s="37">
        <f t="shared" si="14"/>
        <v>0</v>
      </c>
      <c r="AD64" s="37">
        <f t="shared" si="14"/>
        <v>101859</v>
      </c>
      <c r="AE64" s="37">
        <f t="shared" si="14"/>
        <v>0</v>
      </c>
      <c r="AF64" s="37">
        <f t="shared" si="14"/>
        <v>600000</v>
      </c>
      <c r="AG64" s="37">
        <f t="shared" si="14"/>
        <v>0</v>
      </c>
      <c r="AH64" s="38">
        <f>SUM(AH65:AH75)</f>
        <v>1036832</v>
      </c>
    </row>
    <row r="65">
      <c r="A65" s="16" t="s">
        <v>63</v>
      </c>
      <c r="B65" s="27">
        <f t="shared" si="15"/>
        <v>0.005999946432</v>
      </c>
      <c r="C65" s="20">
        <v>0.0</v>
      </c>
      <c r="D65" s="20">
        <v>0.0</v>
      </c>
      <c r="E65" s="20">
        <v>0.0</v>
      </c>
      <c r="F65" s="20">
        <v>0.0</v>
      </c>
      <c r="G65" s="20">
        <v>0.0</v>
      </c>
      <c r="H65" s="17">
        <v>109047.0</v>
      </c>
      <c r="I65" s="20">
        <v>0.0</v>
      </c>
      <c r="J65" s="20">
        <v>0.0</v>
      </c>
      <c r="K65" s="20">
        <v>0.0</v>
      </c>
      <c r="L65" s="20">
        <v>0.0</v>
      </c>
      <c r="M65" s="20">
        <v>0.0</v>
      </c>
      <c r="N65" s="20">
        <v>0.0</v>
      </c>
      <c r="O65" s="20">
        <v>0.0</v>
      </c>
      <c r="P65" s="20">
        <v>0.0</v>
      </c>
      <c r="Q65" s="20">
        <v>0.0</v>
      </c>
      <c r="R65" s="20">
        <v>0.0</v>
      </c>
      <c r="S65" s="20">
        <v>0.0</v>
      </c>
      <c r="T65" s="20">
        <v>0.0</v>
      </c>
      <c r="U65" s="20">
        <v>0.0</v>
      </c>
      <c r="V65" s="20">
        <v>0.0</v>
      </c>
      <c r="W65" s="20">
        <v>0.0</v>
      </c>
      <c r="X65" s="20">
        <v>0.0</v>
      </c>
      <c r="Y65" s="20">
        <v>0.0</v>
      </c>
      <c r="Z65" s="17">
        <v>109591.0</v>
      </c>
      <c r="AA65" s="20">
        <v>0.0</v>
      </c>
      <c r="AB65" s="20">
        <v>0.0</v>
      </c>
      <c r="AC65" s="20">
        <v>0.0</v>
      </c>
      <c r="AD65" s="20">
        <v>0.0</v>
      </c>
      <c r="AE65" s="20">
        <v>0.0</v>
      </c>
      <c r="AF65" s="20">
        <v>0.0</v>
      </c>
      <c r="AG65" s="20">
        <v>0.0</v>
      </c>
      <c r="AH65" s="19">
        <f t="shared" ref="AH65:AH75" si="16">SUM(C65:AG65)</f>
        <v>218638</v>
      </c>
    </row>
    <row r="66">
      <c r="A66" s="16" t="s">
        <v>64</v>
      </c>
      <c r="B66" s="27">
        <f t="shared" si="15"/>
        <v>0.001598381251</v>
      </c>
      <c r="C66" s="20">
        <v>0.0</v>
      </c>
      <c r="D66" s="20">
        <v>0.0</v>
      </c>
      <c r="E66" s="17">
        <v>58245.0</v>
      </c>
      <c r="F66" s="20">
        <v>0.0</v>
      </c>
      <c r="G66" s="20">
        <v>0.0</v>
      </c>
      <c r="H66" s="20">
        <v>0.0</v>
      </c>
      <c r="I66" s="20">
        <v>0.0</v>
      </c>
      <c r="J66" s="20">
        <v>0.0</v>
      </c>
      <c r="K66" s="20">
        <v>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0">
        <v>0.0</v>
      </c>
      <c r="Y66" s="20">
        <v>0.0</v>
      </c>
      <c r="Z66" s="20">
        <v>0.0</v>
      </c>
      <c r="AA66" s="20">
        <v>0.0</v>
      </c>
      <c r="AB66" s="20">
        <v>0.0</v>
      </c>
      <c r="AC66" s="20">
        <v>0.0</v>
      </c>
      <c r="AD66" s="20">
        <v>0.0</v>
      </c>
      <c r="AE66" s="20">
        <v>0.0</v>
      </c>
      <c r="AF66" s="20">
        <v>0.0</v>
      </c>
      <c r="AG66" s="20">
        <v>0.0</v>
      </c>
      <c r="AH66" s="19">
        <f t="shared" si="16"/>
        <v>58245</v>
      </c>
    </row>
    <row r="67">
      <c r="A67" s="16" t="s">
        <v>65</v>
      </c>
      <c r="B67" s="27">
        <f t="shared" si="15"/>
        <v>0.001306257147</v>
      </c>
      <c r="C67" s="20">
        <v>0.0</v>
      </c>
      <c r="D67" s="20">
        <v>0.0</v>
      </c>
      <c r="E67" s="20">
        <v>0.0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0.0</v>
      </c>
      <c r="M67" s="20">
        <v>0.0</v>
      </c>
      <c r="N67" s="20">
        <v>0.0</v>
      </c>
      <c r="O67" s="20">
        <v>0.0</v>
      </c>
      <c r="P67" s="20">
        <v>0.0</v>
      </c>
      <c r="Q67" s="20">
        <v>0.0</v>
      </c>
      <c r="R67" s="20">
        <v>0.0</v>
      </c>
      <c r="S67" s="20">
        <v>0.0</v>
      </c>
      <c r="T67" s="20">
        <v>0.0</v>
      </c>
      <c r="U67" s="20">
        <v>0.0</v>
      </c>
      <c r="V67" s="20">
        <v>0.0</v>
      </c>
      <c r="W67" s="20">
        <v>0.0</v>
      </c>
      <c r="X67" s="20">
        <v>0.0</v>
      </c>
      <c r="Y67" s="20">
        <v>0.0</v>
      </c>
      <c r="Z67" s="17">
        <v>47600.0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0.0</v>
      </c>
      <c r="AF67" s="20">
        <v>0.0</v>
      </c>
      <c r="AG67" s="20">
        <v>0.0</v>
      </c>
      <c r="AH67" s="19">
        <f t="shared" si="16"/>
        <v>47600</v>
      </c>
    </row>
    <row r="68">
      <c r="A68" s="16" t="s">
        <v>66</v>
      </c>
      <c r="B68" s="27">
        <f t="shared" si="15"/>
        <v>0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20">
        <v>0.0</v>
      </c>
      <c r="L68" s="20">
        <v>0.0</v>
      </c>
      <c r="M68" s="20">
        <v>0.0</v>
      </c>
      <c r="N68" s="20">
        <v>0.0</v>
      </c>
      <c r="O68" s="20">
        <v>0.0</v>
      </c>
      <c r="P68" s="20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0.0</v>
      </c>
      <c r="V68" s="20">
        <v>0.0</v>
      </c>
      <c r="W68" s="20">
        <v>0.0</v>
      </c>
      <c r="X68" s="20">
        <v>0.0</v>
      </c>
      <c r="Y68" s="20">
        <v>0.0</v>
      </c>
      <c r="Z68" s="20">
        <v>0.0</v>
      </c>
      <c r="AA68" s="20">
        <v>0.0</v>
      </c>
      <c r="AB68" s="20">
        <v>0.0</v>
      </c>
      <c r="AC68" s="20">
        <v>0.0</v>
      </c>
      <c r="AD68" s="20">
        <v>0.0</v>
      </c>
      <c r="AE68" s="20">
        <v>0.0</v>
      </c>
      <c r="AF68" s="20">
        <v>0.0</v>
      </c>
      <c r="AG68" s="20">
        <v>0.0</v>
      </c>
      <c r="AH68" s="19">
        <f t="shared" si="16"/>
        <v>0</v>
      </c>
    </row>
    <row r="69">
      <c r="A69" s="16" t="s">
        <v>67</v>
      </c>
      <c r="B69" s="27">
        <f t="shared" si="15"/>
        <v>0.002795253083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v>0.0</v>
      </c>
      <c r="L69" s="20">
        <v>0.0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20">
        <v>0.0</v>
      </c>
      <c r="W69" s="20">
        <v>0.0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17">
        <v>101859.0</v>
      </c>
      <c r="AE69" s="20">
        <v>0.0</v>
      </c>
      <c r="AF69" s="20">
        <v>0.0</v>
      </c>
      <c r="AG69" s="20">
        <v>0.0</v>
      </c>
      <c r="AH69" s="19">
        <f t="shared" si="16"/>
        <v>101859</v>
      </c>
    </row>
    <row r="70">
      <c r="A70" s="16" t="s">
        <v>68</v>
      </c>
      <c r="B70" s="27">
        <f t="shared" si="15"/>
        <v>0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20">
        <v>0.0</v>
      </c>
      <c r="AC70" s="20">
        <v>0.0</v>
      </c>
      <c r="AD70" s="20">
        <v>0.0</v>
      </c>
      <c r="AE70" s="20">
        <v>0.0</v>
      </c>
      <c r="AF70" s="20">
        <v>0.0</v>
      </c>
      <c r="AG70" s="20">
        <v>0.0</v>
      </c>
      <c r="AH70" s="19">
        <f t="shared" si="16"/>
        <v>0</v>
      </c>
    </row>
    <row r="71">
      <c r="A71" s="16" t="s">
        <v>69</v>
      </c>
      <c r="B71" s="27">
        <f t="shared" si="15"/>
        <v>0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0.0</v>
      </c>
      <c r="K71" s="20">
        <v>0.0</v>
      </c>
      <c r="L71" s="20">
        <v>0.0</v>
      </c>
      <c r="M71" s="20">
        <v>0.0</v>
      </c>
      <c r="N71" s="20">
        <v>0.0</v>
      </c>
      <c r="O71" s="20">
        <v>0.0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20">
        <v>0.0</v>
      </c>
      <c r="AF71" s="20">
        <v>0.0</v>
      </c>
      <c r="AG71" s="20">
        <v>0.0</v>
      </c>
      <c r="AH71" s="19">
        <f t="shared" si="16"/>
        <v>0</v>
      </c>
    </row>
    <row r="72">
      <c r="A72" s="16" t="s">
        <v>70</v>
      </c>
      <c r="B72" s="27">
        <f t="shared" si="15"/>
        <v>0</v>
      </c>
      <c r="C72" s="20">
        <v>0.0</v>
      </c>
      <c r="D72" s="20">
        <v>0.0</v>
      </c>
      <c r="E72" s="20">
        <v>0.0</v>
      </c>
      <c r="F72" s="20">
        <v>0.0</v>
      </c>
      <c r="G72" s="20">
        <v>0.0</v>
      </c>
      <c r="H72" s="20">
        <v>0.0</v>
      </c>
      <c r="I72" s="20">
        <v>0.0</v>
      </c>
      <c r="J72" s="20">
        <v>0.0</v>
      </c>
      <c r="K72" s="20">
        <v>0.0</v>
      </c>
      <c r="L72" s="20">
        <v>0.0</v>
      </c>
      <c r="M72" s="20">
        <v>0.0</v>
      </c>
      <c r="N72" s="20">
        <v>0.0</v>
      </c>
      <c r="O72" s="20">
        <v>0.0</v>
      </c>
      <c r="P72" s="20">
        <v>0.0</v>
      </c>
      <c r="Q72" s="20">
        <v>0.0</v>
      </c>
      <c r="R72" s="20">
        <v>0.0</v>
      </c>
      <c r="S72" s="20">
        <v>0.0</v>
      </c>
      <c r="T72" s="20">
        <v>0.0</v>
      </c>
      <c r="U72" s="20">
        <v>0.0</v>
      </c>
      <c r="V72" s="20">
        <v>0.0</v>
      </c>
      <c r="W72" s="20">
        <v>0.0</v>
      </c>
      <c r="X72" s="20">
        <v>0.0</v>
      </c>
      <c r="Y72" s="20">
        <v>0.0</v>
      </c>
      <c r="Z72" s="20">
        <v>0.0</v>
      </c>
      <c r="AA72" s="20">
        <v>0.0</v>
      </c>
      <c r="AB72" s="20">
        <v>0.0</v>
      </c>
      <c r="AC72" s="20">
        <v>0.0</v>
      </c>
      <c r="AD72" s="20">
        <v>0.0</v>
      </c>
      <c r="AE72" s="20">
        <v>0.0</v>
      </c>
      <c r="AF72" s="20">
        <v>0.0</v>
      </c>
      <c r="AG72" s="20">
        <v>0.0</v>
      </c>
      <c r="AH72" s="19">
        <f t="shared" si="16"/>
        <v>0</v>
      </c>
    </row>
    <row r="73">
      <c r="A73" s="16" t="s">
        <v>71</v>
      </c>
      <c r="B73" s="27">
        <f t="shared" si="15"/>
        <v>0</v>
      </c>
      <c r="C73" s="20">
        <v>0.0</v>
      </c>
      <c r="D73" s="20">
        <v>0.0</v>
      </c>
      <c r="E73" s="20">
        <v>0.0</v>
      </c>
      <c r="F73" s="20">
        <v>0.0</v>
      </c>
      <c r="G73" s="20">
        <v>0.0</v>
      </c>
      <c r="H73" s="20">
        <v>0.0</v>
      </c>
      <c r="I73" s="20">
        <v>0.0</v>
      </c>
      <c r="J73" s="20">
        <v>0.0</v>
      </c>
      <c r="K73" s="20">
        <v>0.0</v>
      </c>
      <c r="L73" s="20">
        <v>0.0</v>
      </c>
      <c r="M73" s="20">
        <v>0.0</v>
      </c>
      <c r="N73" s="20">
        <v>0.0</v>
      </c>
      <c r="O73" s="20">
        <v>0.0</v>
      </c>
      <c r="P73" s="20">
        <v>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  <c r="V73" s="20">
        <v>0.0</v>
      </c>
      <c r="W73" s="20">
        <v>0.0</v>
      </c>
      <c r="X73" s="20">
        <v>0.0</v>
      </c>
      <c r="Y73" s="20">
        <v>0.0</v>
      </c>
      <c r="Z73" s="20">
        <v>0.0</v>
      </c>
      <c r="AA73" s="20">
        <v>0.0</v>
      </c>
      <c r="AB73" s="20">
        <v>0.0</v>
      </c>
      <c r="AC73" s="20">
        <v>0.0</v>
      </c>
      <c r="AD73" s="20">
        <v>0.0</v>
      </c>
      <c r="AE73" s="20">
        <v>0.0</v>
      </c>
      <c r="AF73" s="20">
        <v>0.0</v>
      </c>
      <c r="AG73" s="20">
        <v>0.0</v>
      </c>
      <c r="AH73" s="19">
        <f t="shared" si="16"/>
        <v>0</v>
      </c>
    </row>
    <row r="74">
      <c r="A74" s="7" t="s">
        <v>72</v>
      </c>
      <c r="B74" s="27">
        <f t="shared" si="15"/>
        <v>0.01646542623</v>
      </c>
      <c r="C74" s="20">
        <v>0.0</v>
      </c>
      <c r="D74" s="20">
        <v>0.0</v>
      </c>
      <c r="E74" s="20">
        <v>0.0</v>
      </c>
      <c r="F74" s="20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0">
        <v>0.0</v>
      </c>
      <c r="M74" s="20">
        <v>0.0</v>
      </c>
      <c r="N74" s="20">
        <v>0.0</v>
      </c>
      <c r="O74" s="20">
        <v>0.0</v>
      </c>
      <c r="P74" s="20">
        <v>0.0</v>
      </c>
      <c r="Q74" s="20">
        <v>0.0</v>
      </c>
      <c r="R74" s="20">
        <v>0.0</v>
      </c>
      <c r="S74" s="20">
        <v>0.0</v>
      </c>
      <c r="T74" s="20">
        <v>0.0</v>
      </c>
      <c r="U74" s="20">
        <v>0.0</v>
      </c>
      <c r="V74" s="20">
        <v>0.0</v>
      </c>
      <c r="W74" s="20">
        <v>0.0</v>
      </c>
      <c r="X74" s="20">
        <v>0.0</v>
      </c>
      <c r="Y74" s="20">
        <v>0.0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20">
        <v>0.0</v>
      </c>
      <c r="AF74" s="17">
        <v>600000.0</v>
      </c>
      <c r="AG74" s="20">
        <v>0.0</v>
      </c>
      <c r="AH74" s="19">
        <f t="shared" si="16"/>
        <v>600000</v>
      </c>
    </row>
    <row r="75">
      <c r="A75" s="39" t="s">
        <v>73</v>
      </c>
      <c r="B75" s="27">
        <f t="shared" si="15"/>
        <v>0.0002878705352</v>
      </c>
      <c r="C75" s="20">
        <v>0.0</v>
      </c>
      <c r="D75" s="20">
        <v>0.0</v>
      </c>
      <c r="E75" s="17">
        <v>10490.0</v>
      </c>
      <c r="F75" s="20">
        <v>0.0</v>
      </c>
      <c r="G75" s="20">
        <v>0.0</v>
      </c>
      <c r="H75" s="20">
        <v>0.0</v>
      </c>
      <c r="I75" s="20">
        <v>0.0</v>
      </c>
      <c r="J75" s="20">
        <v>0.0</v>
      </c>
      <c r="K75" s="20">
        <v>0.0</v>
      </c>
      <c r="L75" s="20">
        <v>0.0</v>
      </c>
      <c r="M75" s="20">
        <v>0.0</v>
      </c>
      <c r="N75" s="20">
        <v>0.0</v>
      </c>
      <c r="O75" s="20">
        <v>0.0</v>
      </c>
      <c r="P75" s="20">
        <v>0.0</v>
      </c>
      <c r="Q75" s="20">
        <v>0.0</v>
      </c>
      <c r="R75" s="20">
        <v>0.0</v>
      </c>
      <c r="S75" s="20">
        <v>0.0</v>
      </c>
      <c r="T75" s="20">
        <v>0.0</v>
      </c>
      <c r="U75" s="20">
        <v>0.0</v>
      </c>
      <c r="V75" s="20">
        <v>0.0</v>
      </c>
      <c r="W75" s="20">
        <v>0.0</v>
      </c>
      <c r="X75" s="20">
        <v>0.0</v>
      </c>
      <c r="Y75" s="20">
        <v>0.0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20">
        <v>0.0</v>
      </c>
      <c r="AF75" s="20">
        <v>0.0</v>
      </c>
      <c r="AG75" s="20">
        <v>0.0</v>
      </c>
      <c r="AH75" s="19">
        <f t="shared" si="16"/>
        <v>10490</v>
      </c>
    </row>
    <row r="76">
      <c r="A76" s="7"/>
      <c r="B76" s="8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>
      <c r="A77" s="40" t="s">
        <v>74</v>
      </c>
      <c r="B77" s="32">
        <f t="shared" ref="B77:B81" si="19">AH77/$AH$10</f>
        <v>0.04548746882</v>
      </c>
      <c r="C77" s="41">
        <f>sum(C78:C81)</f>
        <v>0</v>
      </c>
      <c r="D77" s="41">
        <f t="shared" ref="D77:Z77" si="17">sum(D78:D80)</f>
        <v>0</v>
      </c>
      <c r="E77" s="41">
        <f t="shared" si="17"/>
        <v>0</v>
      </c>
      <c r="F77" s="41">
        <f t="shared" si="17"/>
        <v>0</v>
      </c>
      <c r="G77" s="41">
        <f t="shared" si="17"/>
        <v>0</v>
      </c>
      <c r="H77" s="41">
        <f t="shared" si="17"/>
        <v>0</v>
      </c>
      <c r="I77" s="41">
        <f t="shared" si="17"/>
        <v>0</v>
      </c>
      <c r="J77" s="41">
        <f t="shared" si="17"/>
        <v>0</v>
      </c>
      <c r="K77" s="41">
        <f t="shared" si="17"/>
        <v>0</v>
      </c>
      <c r="L77" s="41">
        <f t="shared" si="17"/>
        <v>0</v>
      </c>
      <c r="M77" s="41">
        <f t="shared" si="17"/>
        <v>0</v>
      </c>
      <c r="N77" s="41">
        <f t="shared" si="17"/>
        <v>0</v>
      </c>
      <c r="O77" s="41">
        <f t="shared" si="17"/>
        <v>0</v>
      </c>
      <c r="P77" s="41">
        <f t="shared" si="17"/>
        <v>0</v>
      </c>
      <c r="Q77" s="41">
        <f t="shared" si="17"/>
        <v>0</v>
      </c>
      <c r="R77" s="41">
        <f t="shared" si="17"/>
        <v>0</v>
      </c>
      <c r="S77" s="41">
        <f t="shared" si="17"/>
        <v>0</v>
      </c>
      <c r="T77" s="41">
        <f t="shared" si="17"/>
        <v>0</v>
      </c>
      <c r="U77" s="41">
        <f t="shared" si="17"/>
        <v>0</v>
      </c>
      <c r="V77" s="41">
        <f t="shared" si="17"/>
        <v>0</v>
      </c>
      <c r="W77" s="41">
        <f t="shared" si="17"/>
        <v>0</v>
      </c>
      <c r="X77" s="41">
        <f t="shared" si="17"/>
        <v>0</v>
      </c>
      <c r="Y77" s="41">
        <f t="shared" si="17"/>
        <v>0</v>
      </c>
      <c r="Z77" s="41">
        <f t="shared" si="17"/>
        <v>0</v>
      </c>
      <c r="AA77" s="41">
        <f>sum(AA78:AA81)</f>
        <v>179260</v>
      </c>
      <c r="AB77" s="41">
        <f t="shared" ref="AB77:AC77" si="18">sum(AB78:AB80)</f>
        <v>0</v>
      </c>
      <c r="AC77" s="41">
        <f t="shared" si="18"/>
        <v>0</v>
      </c>
      <c r="AD77" s="41">
        <f>sum(AD78:AD81)</f>
        <v>520287</v>
      </c>
      <c r="AE77" s="41">
        <f>sum(AE78:AE80)</f>
        <v>0</v>
      </c>
      <c r="AF77" s="41">
        <f>sum(AF78:AF81)</f>
        <v>958016</v>
      </c>
      <c r="AG77" s="41">
        <f>sum(AG78:AG80)</f>
        <v>0</v>
      </c>
      <c r="AH77" s="34">
        <f>sum(AH78:AH81)</f>
        <v>1657563</v>
      </c>
    </row>
    <row r="78">
      <c r="A78" s="16" t="s">
        <v>75</v>
      </c>
      <c r="B78" s="27">
        <f t="shared" si="19"/>
        <v>0</v>
      </c>
      <c r="C78" s="20">
        <v>0.0</v>
      </c>
      <c r="D78" s="20">
        <v>0.0</v>
      </c>
      <c r="E78" s="20">
        <v>0.0</v>
      </c>
      <c r="F78" s="20">
        <v>0.0</v>
      </c>
      <c r="G78" s="20">
        <v>0.0</v>
      </c>
      <c r="H78" s="20">
        <v>0.0</v>
      </c>
      <c r="I78" s="20">
        <v>0.0</v>
      </c>
      <c r="J78" s="20">
        <v>0.0</v>
      </c>
      <c r="K78" s="20">
        <v>0.0</v>
      </c>
      <c r="L78" s="20">
        <v>0.0</v>
      </c>
      <c r="M78" s="20">
        <v>0.0</v>
      </c>
      <c r="N78" s="20">
        <v>0.0</v>
      </c>
      <c r="O78" s="20">
        <v>0.0</v>
      </c>
      <c r="P78" s="20">
        <v>0.0</v>
      </c>
      <c r="Q78" s="20">
        <v>0.0</v>
      </c>
      <c r="R78" s="20">
        <v>0.0</v>
      </c>
      <c r="S78" s="20">
        <v>0.0</v>
      </c>
      <c r="T78" s="20">
        <v>0.0</v>
      </c>
      <c r="U78" s="20">
        <v>0.0</v>
      </c>
      <c r="V78" s="20">
        <v>0.0</v>
      </c>
      <c r="W78" s="20">
        <v>0.0</v>
      </c>
      <c r="X78" s="20">
        <v>0.0</v>
      </c>
      <c r="Y78" s="20">
        <v>0.0</v>
      </c>
      <c r="Z78" s="20">
        <v>0.0</v>
      </c>
      <c r="AA78" s="20">
        <v>0.0</v>
      </c>
      <c r="AB78" s="20">
        <v>0.0</v>
      </c>
      <c r="AC78" s="20">
        <v>0.0</v>
      </c>
      <c r="AD78" s="20">
        <v>0.0</v>
      </c>
      <c r="AE78" s="20">
        <v>0.0</v>
      </c>
      <c r="AF78" s="20">
        <v>0.0</v>
      </c>
      <c r="AG78" s="20">
        <v>0.0</v>
      </c>
      <c r="AH78" s="19">
        <f t="shared" ref="AH78:AH81" si="20">SUM(C78:AG78)</f>
        <v>0</v>
      </c>
    </row>
    <row r="79">
      <c r="A79" s="16" t="s">
        <v>76</v>
      </c>
      <c r="B79" s="27">
        <f t="shared" si="19"/>
        <v>0</v>
      </c>
      <c r="C79" s="20">
        <v>0.0</v>
      </c>
      <c r="D79" s="20">
        <v>0.0</v>
      </c>
      <c r="E79" s="20">
        <v>0.0</v>
      </c>
      <c r="F79" s="20">
        <v>0.0</v>
      </c>
      <c r="G79" s="20">
        <v>0.0</v>
      </c>
      <c r="H79" s="20">
        <v>0.0</v>
      </c>
      <c r="I79" s="20">
        <v>0.0</v>
      </c>
      <c r="J79" s="20">
        <v>0.0</v>
      </c>
      <c r="K79" s="20">
        <v>0.0</v>
      </c>
      <c r="L79" s="20">
        <v>0.0</v>
      </c>
      <c r="M79" s="20">
        <v>0.0</v>
      </c>
      <c r="N79" s="20">
        <v>0.0</v>
      </c>
      <c r="O79" s="20">
        <v>0.0</v>
      </c>
      <c r="P79" s="20">
        <v>0.0</v>
      </c>
      <c r="Q79" s="20">
        <v>0.0</v>
      </c>
      <c r="R79" s="20">
        <v>0.0</v>
      </c>
      <c r="S79" s="20">
        <v>0.0</v>
      </c>
      <c r="T79" s="20">
        <v>0.0</v>
      </c>
      <c r="U79" s="20">
        <v>0.0</v>
      </c>
      <c r="V79" s="20">
        <v>0.0</v>
      </c>
      <c r="W79" s="20">
        <v>0.0</v>
      </c>
      <c r="X79" s="20">
        <v>0.0</v>
      </c>
      <c r="Y79" s="20">
        <v>0.0</v>
      </c>
      <c r="Z79" s="20">
        <v>0.0</v>
      </c>
      <c r="AA79" s="20">
        <v>0.0</v>
      </c>
      <c r="AB79" s="20">
        <v>0.0</v>
      </c>
      <c r="AC79" s="20">
        <v>0.0</v>
      </c>
      <c r="AD79" s="20">
        <v>0.0</v>
      </c>
      <c r="AE79" s="20">
        <v>0.0</v>
      </c>
      <c r="AF79" s="20">
        <v>0.0</v>
      </c>
      <c r="AG79" s="20">
        <v>0.0</v>
      </c>
      <c r="AH79" s="19">
        <f t="shared" si="20"/>
        <v>0</v>
      </c>
    </row>
    <row r="80">
      <c r="A80" s="16" t="s">
        <v>77</v>
      </c>
      <c r="B80" s="27">
        <f t="shared" si="19"/>
        <v>0</v>
      </c>
      <c r="C80" s="20">
        <v>0.0</v>
      </c>
      <c r="D80" s="20">
        <v>0.0</v>
      </c>
      <c r="E80" s="20">
        <v>0.0</v>
      </c>
      <c r="F80" s="20">
        <v>0.0</v>
      </c>
      <c r="G80" s="20">
        <v>0.0</v>
      </c>
      <c r="H80" s="20">
        <v>0.0</v>
      </c>
      <c r="I80" s="20">
        <v>0.0</v>
      </c>
      <c r="J80" s="20">
        <v>0.0</v>
      </c>
      <c r="K80" s="20">
        <v>0.0</v>
      </c>
      <c r="L80" s="20">
        <v>0.0</v>
      </c>
      <c r="M80" s="20">
        <v>0.0</v>
      </c>
      <c r="N80" s="20">
        <v>0.0</v>
      </c>
      <c r="O80" s="20">
        <v>0.0</v>
      </c>
      <c r="P80" s="20">
        <v>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  <c r="V80" s="20">
        <v>0.0</v>
      </c>
      <c r="W80" s="20">
        <v>0.0</v>
      </c>
      <c r="X80" s="20">
        <v>0.0</v>
      </c>
      <c r="Y80" s="20">
        <v>0.0</v>
      </c>
      <c r="Z80" s="20">
        <v>0.0</v>
      </c>
      <c r="AA80" s="20">
        <v>0.0</v>
      </c>
      <c r="AB80" s="20">
        <v>0.0</v>
      </c>
      <c r="AC80" s="20">
        <v>0.0</v>
      </c>
      <c r="AD80" s="20">
        <v>0.0</v>
      </c>
      <c r="AE80" s="20">
        <v>0.0</v>
      </c>
      <c r="AF80" s="17">
        <v>0.0</v>
      </c>
      <c r="AG80" s="20">
        <v>0.0</v>
      </c>
      <c r="AH80" s="19">
        <f t="shared" si="20"/>
        <v>0</v>
      </c>
    </row>
    <row r="81">
      <c r="A81" s="39" t="s">
        <v>78</v>
      </c>
      <c r="B81" s="27">
        <f t="shared" si="19"/>
        <v>0.04548746882</v>
      </c>
      <c r="C81" s="20">
        <v>0.0</v>
      </c>
      <c r="D81" s="20">
        <v>0.0</v>
      </c>
      <c r="E81" s="20">
        <v>0.0</v>
      </c>
      <c r="F81" s="20">
        <v>0.0</v>
      </c>
      <c r="G81" s="20">
        <v>0.0</v>
      </c>
      <c r="H81" s="20">
        <v>0.0</v>
      </c>
      <c r="I81" s="20">
        <v>0.0</v>
      </c>
      <c r="J81" s="20">
        <v>0.0</v>
      </c>
      <c r="K81" s="20">
        <v>0.0</v>
      </c>
      <c r="L81" s="20">
        <v>0.0</v>
      </c>
      <c r="M81" s="20">
        <v>0.0</v>
      </c>
      <c r="N81" s="17">
        <v>0.0</v>
      </c>
      <c r="O81" s="20">
        <v>0.0</v>
      </c>
      <c r="P81" s="17">
        <v>0.0</v>
      </c>
      <c r="Q81" s="20">
        <v>0.0</v>
      </c>
      <c r="R81" s="20">
        <v>0.0</v>
      </c>
      <c r="S81" s="20">
        <v>0.0</v>
      </c>
      <c r="T81" s="20">
        <v>0.0</v>
      </c>
      <c r="U81" s="20">
        <v>0.0</v>
      </c>
      <c r="V81" s="20">
        <v>0.0</v>
      </c>
      <c r="W81" s="20">
        <v>0.0</v>
      </c>
      <c r="X81" s="20">
        <v>0.0</v>
      </c>
      <c r="Y81" s="20">
        <v>0.0</v>
      </c>
      <c r="Z81" s="20">
        <v>0.0</v>
      </c>
      <c r="AA81" s="17">
        <v>179260.0</v>
      </c>
      <c r="AB81" s="20">
        <v>0.0</v>
      </c>
      <c r="AC81" s="20">
        <v>0.0</v>
      </c>
      <c r="AD81" s="17">
        <f>309400+210887</f>
        <v>520287</v>
      </c>
      <c r="AE81" s="20">
        <v>0.0</v>
      </c>
      <c r="AF81" s="17">
        <f>607000+351016</f>
        <v>958016</v>
      </c>
      <c r="AG81" s="20">
        <v>0.0</v>
      </c>
      <c r="AH81" s="19">
        <f t="shared" si="20"/>
        <v>1657563</v>
      </c>
    </row>
    <row r="82">
      <c r="A82" s="39"/>
      <c r="B82" s="27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>
      <c r="A83" s="42" t="s">
        <v>79</v>
      </c>
      <c r="B83" s="43">
        <f t="shared" ref="B83:B87" si="22">AH83/$AH$10</f>
        <v>0.1157642406</v>
      </c>
      <c r="C83" s="44">
        <f t="shared" ref="C83:AH83" si="21">sum(C84:C87)</f>
        <v>0</v>
      </c>
      <c r="D83" s="44">
        <f t="shared" si="21"/>
        <v>601287</v>
      </c>
      <c r="E83" s="44">
        <f t="shared" si="21"/>
        <v>0</v>
      </c>
      <c r="F83" s="44">
        <f t="shared" si="21"/>
        <v>0</v>
      </c>
      <c r="G83" s="44">
        <f t="shared" si="21"/>
        <v>0</v>
      </c>
      <c r="H83" s="44">
        <f t="shared" si="21"/>
        <v>611381</v>
      </c>
      <c r="I83" s="44">
        <f t="shared" si="21"/>
        <v>0</v>
      </c>
      <c r="J83" s="44">
        <f t="shared" si="21"/>
        <v>0</v>
      </c>
      <c r="K83" s="44">
        <f t="shared" si="21"/>
        <v>0</v>
      </c>
      <c r="L83" s="44">
        <f t="shared" si="21"/>
        <v>562057</v>
      </c>
      <c r="M83" s="44">
        <f t="shared" si="21"/>
        <v>0</v>
      </c>
      <c r="N83" s="44">
        <f t="shared" si="21"/>
        <v>0</v>
      </c>
      <c r="O83" s="44">
        <f t="shared" si="21"/>
        <v>0</v>
      </c>
      <c r="P83" s="44">
        <f t="shared" si="21"/>
        <v>402407</v>
      </c>
      <c r="Q83" s="44">
        <f t="shared" si="21"/>
        <v>0</v>
      </c>
      <c r="R83" s="44">
        <f t="shared" si="21"/>
        <v>621669</v>
      </c>
      <c r="S83" s="44">
        <f t="shared" si="21"/>
        <v>0</v>
      </c>
      <c r="T83" s="44">
        <f t="shared" si="21"/>
        <v>0</v>
      </c>
      <c r="U83" s="44">
        <f t="shared" si="21"/>
        <v>0</v>
      </c>
      <c r="V83" s="44">
        <f t="shared" si="21"/>
        <v>407952</v>
      </c>
      <c r="W83" s="44">
        <f t="shared" si="21"/>
        <v>0</v>
      </c>
      <c r="X83" s="44">
        <f t="shared" si="21"/>
        <v>0</v>
      </c>
      <c r="Y83" s="44">
        <f t="shared" si="21"/>
        <v>0</v>
      </c>
      <c r="Z83" s="44">
        <f t="shared" si="21"/>
        <v>458650</v>
      </c>
      <c r="AA83" s="44">
        <f t="shared" si="21"/>
        <v>0</v>
      </c>
      <c r="AB83" s="44">
        <f t="shared" si="21"/>
        <v>0</v>
      </c>
      <c r="AC83" s="44">
        <f t="shared" si="21"/>
        <v>553045</v>
      </c>
      <c r="AD83" s="44">
        <f t="shared" si="21"/>
        <v>0</v>
      </c>
      <c r="AE83" s="44">
        <f t="shared" si="21"/>
        <v>0</v>
      </c>
      <c r="AF83" s="44">
        <f t="shared" si="21"/>
        <v>0</v>
      </c>
      <c r="AG83" s="44">
        <f t="shared" si="21"/>
        <v>0</v>
      </c>
      <c r="AH83" s="45">
        <f t="shared" si="21"/>
        <v>4218448</v>
      </c>
    </row>
    <row r="84">
      <c r="A84" s="16" t="s">
        <v>80</v>
      </c>
      <c r="B84" s="27">
        <f t="shared" si="22"/>
        <v>0.06153242295</v>
      </c>
      <c r="C84" s="20">
        <v>0.0</v>
      </c>
      <c r="D84" s="17">
        <v>601287.0</v>
      </c>
      <c r="E84" s="20">
        <v>0.0</v>
      </c>
      <c r="F84" s="20">
        <v>0.0</v>
      </c>
      <c r="G84" s="20">
        <v>0.0</v>
      </c>
      <c r="H84" s="20">
        <v>0.0</v>
      </c>
      <c r="I84" s="20">
        <v>0.0</v>
      </c>
      <c r="J84" s="20">
        <v>0.0</v>
      </c>
      <c r="K84" s="20">
        <v>0.0</v>
      </c>
      <c r="L84" s="17">
        <v>562057.0</v>
      </c>
      <c r="M84" s="20">
        <v>0.0</v>
      </c>
      <c r="N84" s="20">
        <v>0.0</v>
      </c>
      <c r="O84" s="20">
        <v>0.0</v>
      </c>
      <c r="P84" s="20">
        <v>0.0</v>
      </c>
      <c r="Q84" s="20">
        <v>0.0</v>
      </c>
      <c r="R84" s="17">
        <v>621669.0</v>
      </c>
      <c r="S84" s="20">
        <v>0.0</v>
      </c>
      <c r="T84" s="20">
        <v>0.0</v>
      </c>
      <c r="U84" s="20">
        <v>0.0</v>
      </c>
      <c r="V84" s="20">
        <v>0.0</v>
      </c>
      <c r="W84" s="20">
        <v>0.0</v>
      </c>
      <c r="X84" s="20">
        <v>0.0</v>
      </c>
      <c r="Y84" s="20">
        <v>0.0</v>
      </c>
      <c r="Z84" s="17">
        <v>457228.0</v>
      </c>
      <c r="AA84" s="20">
        <v>0.0</v>
      </c>
      <c r="AB84" s="20">
        <v>0.0</v>
      </c>
      <c r="AC84" s="20">
        <v>0.0</v>
      </c>
      <c r="AD84" s="20">
        <v>0.0</v>
      </c>
      <c r="AE84" s="20">
        <v>0.0</v>
      </c>
      <c r="AF84" s="20">
        <v>0.0</v>
      </c>
      <c r="AG84" s="20">
        <v>0.0</v>
      </c>
      <c r="AH84" s="19">
        <f t="shared" ref="AH84:AH87" si="23">SUM(C84:AG84)</f>
        <v>2242241</v>
      </c>
    </row>
    <row r="85">
      <c r="A85" s="16" t="s">
        <v>81</v>
      </c>
      <c r="B85" s="27">
        <f t="shared" si="22"/>
        <v>0.00003902306016</v>
      </c>
      <c r="C85" s="20">
        <v>0.0</v>
      </c>
      <c r="D85" s="20">
        <v>0.0</v>
      </c>
      <c r="E85" s="20">
        <v>0.0</v>
      </c>
      <c r="F85" s="20">
        <v>0.0</v>
      </c>
      <c r="G85" s="20">
        <v>0.0</v>
      </c>
      <c r="H85" s="20">
        <v>0.0</v>
      </c>
      <c r="I85" s="20">
        <v>0.0</v>
      </c>
      <c r="J85" s="20">
        <v>0.0</v>
      </c>
      <c r="K85" s="20">
        <v>0.0</v>
      </c>
      <c r="L85" s="20">
        <v>0.0</v>
      </c>
      <c r="M85" s="20">
        <v>0.0</v>
      </c>
      <c r="N85" s="20">
        <v>0.0</v>
      </c>
      <c r="O85" s="20">
        <v>0.0</v>
      </c>
      <c r="P85" s="20">
        <v>0.0</v>
      </c>
      <c r="Q85" s="20">
        <v>0.0</v>
      </c>
      <c r="R85" s="20">
        <v>0.0</v>
      </c>
      <c r="S85" s="20">
        <v>0.0</v>
      </c>
      <c r="T85" s="20">
        <v>0.0</v>
      </c>
      <c r="U85" s="20">
        <v>0.0</v>
      </c>
      <c r="V85" s="20">
        <v>0.0</v>
      </c>
      <c r="W85" s="20">
        <v>0.0</v>
      </c>
      <c r="X85" s="20">
        <v>0.0</v>
      </c>
      <c r="Y85" s="20">
        <v>0.0</v>
      </c>
      <c r="Z85" s="17">
        <v>1422.0</v>
      </c>
      <c r="AA85" s="20">
        <v>0.0</v>
      </c>
      <c r="AB85" s="20">
        <v>0.0</v>
      </c>
      <c r="AC85" s="20">
        <v>0.0</v>
      </c>
      <c r="AD85" s="20">
        <v>0.0</v>
      </c>
      <c r="AE85" s="20">
        <v>0.0</v>
      </c>
      <c r="AF85" s="20">
        <v>0.0</v>
      </c>
      <c r="AG85" s="20">
        <v>0.0</v>
      </c>
      <c r="AH85" s="19">
        <f t="shared" si="23"/>
        <v>1422</v>
      </c>
    </row>
    <row r="86">
      <c r="A86" s="16" t="s">
        <v>82</v>
      </c>
      <c r="B86" s="27">
        <f t="shared" si="22"/>
        <v>0</v>
      </c>
      <c r="C86" s="20">
        <v>0.0</v>
      </c>
      <c r="D86" s="20">
        <v>0.0</v>
      </c>
      <c r="E86" s="20">
        <v>0.0</v>
      </c>
      <c r="F86" s="20">
        <v>0.0</v>
      </c>
      <c r="G86" s="20">
        <v>0.0</v>
      </c>
      <c r="H86" s="20">
        <v>0.0</v>
      </c>
      <c r="I86" s="20">
        <v>0.0</v>
      </c>
      <c r="J86" s="20">
        <v>0.0</v>
      </c>
      <c r="K86" s="20">
        <v>0.0</v>
      </c>
      <c r="L86" s="20">
        <v>0.0</v>
      </c>
      <c r="M86" s="20">
        <v>0.0</v>
      </c>
      <c r="N86" s="20">
        <v>0.0</v>
      </c>
      <c r="O86" s="20">
        <v>0.0</v>
      </c>
      <c r="P86" s="20">
        <v>0.0</v>
      </c>
      <c r="Q86" s="20">
        <v>0.0</v>
      </c>
      <c r="R86" s="20">
        <v>0.0</v>
      </c>
      <c r="S86" s="20">
        <v>0.0</v>
      </c>
      <c r="T86" s="20">
        <v>0.0</v>
      </c>
      <c r="U86" s="20">
        <v>0.0</v>
      </c>
      <c r="V86" s="20">
        <v>0.0</v>
      </c>
      <c r="W86" s="20">
        <v>0.0</v>
      </c>
      <c r="X86" s="20">
        <v>0.0</v>
      </c>
      <c r="Y86" s="20">
        <v>0.0</v>
      </c>
      <c r="Z86" s="20">
        <v>0.0</v>
      </c>
      <c r="AA86" s="20">
        <v>0.0</v>
      </c>
      <c r="AB86" s="20">
        <v>0.0</v>
      </c>
      <c r="AC86" s="20">
        <v>0.0</v>
      </c>
      <c r="AD86" s="20">
        <v>0.0</v>
      </c>
      <c r="AE86" s="20">
        <v>0.0</v>
      </c>
      <c r="AF86" s="20">
        <v>0.0</v>
      </c>
      <c r="AG86" s="20">
        <v>0.0</v>
      </c>
      <c r="AH86" s="19">
        <f t="shared" si="23"/>
        <v>0</v>
      </c>
    </row>
    <row r="87">
      <c r="A87" s="16" t="s">
        <v>83</v>
      </c>
      <c r="B87" s="27">
        <f t="shared" si="22"/>
        <v>0.05419279455</v>
      </c>
      <c r="C87" s="20">
        <v>0.0</v>
      </c>
      <c r="D87" s="20">
        <v>0.0</v>
      </c>
      <c r="E87" s="20">
        <v>0.0</v>
      </c>
      <c r="F87" s="20">
        <v>0.0</v>
      </c>
      <c r="G87" s="20">
        <v>0.0</v>
      </c>
      <c r="H87" s="17">
        <v>611381.0</v>
      </c>
      <c r="I87" s="20">
        <v>0.0</v>
      </c>
      <c r="J87" s="20">
        <v>0.0</v>
      </c>
      <c r="K87" s="20">
        <v>0.0</v>
      </c>
      <c r="L87" s="20">
        <v>0.0</v>
      </c>
      <c r="M87" s="20">
        <v>0.0</v>
      </c>
      <c r="N87" s="20">
        <v>0.0</v>
      </c>
      <c r="O87" s="20">
        <v>0.0</v>
      </c>
      <c r="P87" s="17">
        <v>402407.0</v>
      </c>
      <c r="Q87" s="20">
        <v>0.0</v>
      </c>
      <c r="R87" s="20">
        <v>0.0</v>
      </c>
      <c r="S87" s="20">
        <v>0.0</v>
      </c>
      <c r="T87" s="20">
        <v>0.0</v>
      </c>
      <c r="U87" s="20">
        <v>0.0</v>
      </c>
      <c r="V87" s="17">
        <v>407952.0</v>
      </c>
      <c r="W87" s="20">
        <v>0.0</v>
      </c>
      <c r="X87" s="20">
        <v>0.0</v>
      </c>
      <c r="Y87" s="20">
        <v>0.0</v>
      </c>
      <c r="Z87" s="20">
        <v>0.0</v>
      </c>
      <c r="AA87" s="20">
        <v>0.0</v>
      </c>
      <c r="AB87" s="20">
        <v>0.0</v>
      </c>
      <c r="AC87" s="17">
        <v>553045.0</v>
      </c>
      <c r="AD87" s="20">
        <v>0.0</v>
      </c>
      <c r="AE87" s="20">
        <v>0.0</v>
      </c>
      <c r="AF87" s="20">
        <v>0.0</v>
      </c>
      <c r="AG87" s="20">
        <v>0.0</v>
      </c>
      <c r="AH87" s="19">
        <f t="shared" si="23"/>
        <v>1974785</v>
      </c>
    </row>
    <row r="88">
      <c r="A88" s="7"/>
      <c r="B88" s="8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>
      <c r="A89" s="47" t="s">
        <v>84</v>
      </c>
      <c r="B89" s="48">
        <f t="shared" ref="B89:B98" si="25">AH89/$AH$10</f>
        <v>0.3227825626</v>
      </c>
      <c r="C89" s="49">
        <f t="shared" ref="C89:AG89" si="24">sum(C90:C98)</f>
        <v>18000</v>
      </c>
      <c r="D89" s="49">
        <f t="shared" si="24"/>
        <v>12785</v>
      </c>
      <c r="E89" s="49">
        <f t="shared" si="24"/>
        <v>0</v>
      </c>
      <c r="F89" s="49">
        <f t="shared" si="24"/>
        <v>0</v>
      </c>
      <c r="G89" s="49">
        <f t="shared" si="24"/>
        <v>907559</v>
      </c>
      <c r="H89" s="49">
        <f t="shared" si="24"/>
        <v>216000</v>
      </c>
      <c r="I89" s="49">
        <f t="shared" si="24"/>
        <v>0</v>
      </c>
      <c r="J89" s="49">
        <f t="shared" si="24"/>
        <v>24980</v>
      </c>
      <c r="K89" s="49">
        <f t="shared" si="24"/>
        <v>39680</v>
      </c>
      <c r="L89" s="49">
        <f t="shared" si="24"/>
        <v>1873077</v>
      </c>
      <c r="M89" s="49">
        <f t="shared" si="24"/>
        <v>0</v>
      </c>
      <c r="N89" s="49">
        <f t="shared" si="24"/>
        <v>0</v>
      </c>
      <c r="O89" s="49">
        <f t="shared" si="24"/>
        <v>0</v>
      </c>
      <c r="P89" s="49">
        <f t="shared" si="24"/>
        <v>0</v>
      </c>
      <c r="Q89" s="49">
        <f t="shared" si="24"/>
        <v>1330000</v>
      </c>
      <c r="R89" s="49">
        <f t="shared" si="24"/>
        <v>0</v>
      </c>
      <c r="S89" s="49">
        <f t="shared" si="24"/>
        <v>0</v>
      </c>
      <c r="T89" s="49">
        <f t="shared" si="24"/>
        <v>0</v>
      </c>
      <c r="U89" s="49">
        <f t="shared" si="24"/>
        <v>0</v>
      </c>
      <c r="V89" s="49">
        <f t="shared" si="24"/>
        <v>0</v>
      </c>
      <c r="W89" s="49">
        <f t="shared" si="24"/>
        <v>0</v>
      </c>
      <c r="X89" s="49">
        <f t="shared" si="24"/>
        <v>0</v>
      </c>
      <c r="Y89" s="49">
        <f t="shared" si="24"/>
        <v>0</v>
      </c>
      <c r="Z89" s="49">
        <f t="shared" si="24"/>
        <v>0</v>
      </c>
      <c r="AA89" s="49">
        <f t="shared" si="24"/>
        <v>0</v>
      </c>
      <c r="AB89" s="49">
        <f t="shared" si="24"/>
        <v>0</v>
      </c>
      <c r="AC89" s="49">
        <f t="shared" si="24"/>
        <v>0</v>
      </c>
      <c r="AD89" s="49">
        <f t="shared" si="24"/>
        <v>0</v>
      </c>
      <c r="AE89" s="49">
        <f t="shared" si="24"/>
        <v>0</v>
      </c>
      <c r="AF89" s="49">
        <f t="shared" si="24"/>
        <v>7340113</v>
      </c>
      <c r="AG89" s="49">
        <f t="shared" si="24"/>
        <v>0</v>
      </c>
      <c r="AH89" s="50">
        <f>SUM(AH90:AH98)</f>
        <v>11762194</v>
      </c>
    </row>
    <row r="90">
      <c r="A90" s="16" t="s">
        <v>85</v>
      </c>
      <c r="B90" s="27">
        <f t="shared" si="25"/>
        <v>0</v>
      </c>
      <c r="C90" s="20">
        <v>0.0</v>
      </c>
      <c r="D90" s="20">
        <v>0.0</v>
      </c>
      <c r="E90" s="20">
        <v>0.0</v>
      </c>
      <c r="F90" s="20">
        <v>0.0</v>
      </c>
      <c r="G90" s="20">
        <v>0.0</v>
      </c>
      <c r="H90" s="20">
        <v>0.0</v>
      </c>
      <c r="I90" s="20">
        <v>0.0</v>
      </c>
      <c r="J90" s="20">
        <v>0.0</v>
      </c>
      <c r="K90" s="20">
        <v>0.0</v>
      </c>
      <c r="L90" s="20">
        <v>0.0</v>
      </c>
      <c r="M90" s="20">
        <v>0.0</v>
      </c>
      <c r="N90" s="20">
        <v>0.0</v>
      </c>
      <c r="O90" s="20">
        <v>0.0</v>
      </c>
      <c r="P90" s="20">
        <v>0.0</v>
      </c>
      <c r="Q90" s="20">
        <v>0.0</v>
      </c>
      <c r="R90" s="20">
        <v>0.0</v>
      </c>
      <c r="S90" s="20">
        <v>0.0</v>
      </c>
      <c r="T90" s="20">
        <v>0.0</v>
      </c>
      <c r="U90" s="20">
        <v>0.0</v>
      </c>
      <c r="V90" s="20">
        <v>0.0</v>
      </c>
      <c r="W90" s="20">
        <v>0.0</v>
      </c>
      <c r="X90" s="20">
        <v>0.0</v>
      </c>
      <c r="Y90" s="20">
        <v>0.0</v>
      </c>
      <c r="Z90" s="20">
        <v>0.0</v>
      </c>
      <c r="AA90" s="20">
        <v>0.0</v>
      </c>
      <c r="AB90" s="20">
        <v>0.0</v>
      </c>
      <c r="AC90" s="20">
        <v>0.0</v>
      </c>
      <c r="AD90" s="20">
        <v>0.0</v>
      </c>
      <c r="AE90" s="20">
        <v>0.0</v>
      </c>
      <c r="AF90" s="20">
        <v>0.0</v>
      </c>
      <c r="AG90" s="20">
        <v>0.0</v>
      </c>
      <c r="AH90" s="19">
        <f t="shared" ref="AH90:AH98" si="26">SUM(C90:AG90)</f>
        <v>0</v>
      </c>
    </row>
    <row r="91">
      <c r="A91" s="16" t="s">
        <v>86</v>
      </c>
      <c r="B91" s="27">
        <f t="shared" si="25"/>
        <v>0.2628340862</v>
      </c>
      <c r="C91" s="20">
        <v>0.0</v>
      </c>
      <c r="D91" s="20">
        <v>0.0</v>
      </c>
      <c r="E91" s="20">
        <v>0.0</v>
      </c>
      <c r="F91" s="20">
        <v>0.0</v>
      </c>
      <c r="G91" s="17">
        <v>907559.0</v>
      </c>
      <c r="H91" s="20">
        <v>0.0</v>
      </c>
      <c r="I91" s="20">
        <v>0.0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  <c r="O91" s="20">
        <v>0.0</v>
      </c>
      <c r="P91" s="20">
        <v>0.0</v>
      </c>
      <c r="Q91" s="20">
        <f>250000+200000+270000+460000+150000</f>
        <v>1330000</v>
      </c>
      <c r="R91" s="20">
        <v>0.0</v>
      </c>
      <c r="S91" s="20">
        <v>0.0</v>
      </c>
      <c r="T91" s="20">
        <v>0.0</v>
      </c>
      <c r="U91" s="20">
        <v>0.0</v>
      </c>
      <c r="V91" s="20">
        <v>0.0</v>
      </c>
      <c r="W91" s="20">
        <v>0.0</v>
      </c>
      <c r="X91" s="20">
        <v>0.0</v>
      </c>
      <c r="Y91" s="20">
        <v>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f>4507589+100000+580000+750000+551262+450000+401262</f>
        <v>7340113</v>
      </c>
      <c r="AG91" s="20">
        <v>0.0</v>
      </c>
      <c r="AH91" s="19">
        <f t="shared" si="26"/>
        <v>9577672</v>
      </c>
    </row>
    <row r="92">
      <c r="A92" s="16" t="s">
        <v>87</v>
      </c>
      <c r="B92" s="27">
        <f t="shared" si="25"/>
        <v>0.0003508507905</v>
      </c>
      <c r="C92" s="20">
        <v>0.0</v>
      </c>
      <c r="D92" s="17">
        <v>12785.0</v>
      </c>
      <c r="E92" s="20">
        <v>0.0</v>
      </c>
      <c r="F92" s="20">
        <v>0.0</v>
      </c>
      <c r="G92" s="20">
        <v>0.0</v>
      </c>
      <c r="H92" s="20">
        <v>0.0</v>
      </c>
      <c r="I92" s="20">
        <v>0.0</v>
      </c>
      <c r="J92" s="20">
        <v>0.0</v>
      </c>
      <c r="K92" s="20">
        <v>0.0</v>
      </c>
      <c r="L92" s="20">
        <v>0.0</v>
      </c>
      <c r="M92" s="20">
        <v>0.0</v>
      </c>
      <c r="N92" s="20">
        <v>0.0</v>
      </c>
      <c r="O92" s="20">
        <v>0.0</v>
      </c>
      <c r="P92" s="20">
        <v>0.0</v>
      </c>
      <c r="Q92" s="20">
        <v>0.0</v>
      </c>
      <c r="R92" s="20">
        <v>0.0</v>
      </c>
      <c r="S92" s="20">
        <v>0.0</v>
      </c>
      <c r="T92" s="20">
        <v>0.0</v>
      </c>
      <c r="U92" s="20">
        <v>0.0</v>
      </c>
      <c r="V92" s="20">
        <v>0.0</v>
      </c>
      <c r="W92" s="20">
        <v>0.0</v>
      </c>
      <c r="X92" s="20">
        <v>0.0</v>
      </c>
      <c r="Y92" s="20">
        <v>0.0</v>
      </c>
      <c r="Z92" s="20">
        <v>0.0</v>
      </c>
      <c r="AA92" s="20">
        <v>0.0</v>
      </c>
      <c r="AB92" s="20">
        <v>0.0</v>
      </c>
      <c r="AC92" s="20">
        <v>0.0</v>
      </c>
      <c r="AD92" s="20">
        <v>0.0</v>
      </c>
      <c r="AE92" s="20">
        <v>0.0</v>
      </c>
      <c r="AF92" s="20">
        <v>0.0</v>
      </c>
      <c r="AG92" s="20">
        <v>0.0</v>
      </c>
      <c r="AH92" s="19">
        <f t="shared" si="26"/>
        <v>12785</v>
      </c>
    </row>
    <row r="93">
      <c r="A93" s="16" t="s">
        <v>88</v>
      </c>
      <c r="B93" s="27">
        <f t="shared" si="25"/>
        <v>0</v>
      </c>
      <c r="C93" s="20">
        <v>0.0</v>
      </c>
      <c r="D93" s="20">
        <v>0.0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  <c r="P93" s="20">
        <v>0.0</v>
      </c>
      <c r="Q93" s="20">
        <v>0.0</v>
      </c>
      <c r="R93" s="20">
        <v>0.0</v>
      </c>
      <c r="S93" s="20">
        <v>0.0</v>
      </c>
      <c r="T93" s="20">
        <v>0.0</v>
      </c>
      <c r="U93" s="20">
        <v>0.0</v>
      </c>
      <c r="V93" s="20">
        <v>0.0</v>
      </c>
      <c r="W93" s="20">
        <v>0.0</v>
      </c>
      <c r="X93" s="20">
        <v>0.0</v>
      </c>
      <c r="Y93" s="20">
        <v>0.0</v>
      </c>
      <c r="Z93" s="20">
        <v>0.0</v>
      </c>
      <c r="AA93" s="20">
        <v>0.0</v>
      </c>
      <c r="AB93" s="20">
        <v>0.0</v>
      </c>
      <c r="AC93" s="20">
        <v>0.0</v>
      </c>
      <c r="AD93" s="20">
        <v>0.0</v>
      </c>
      <c r="AE93" s="20">
        <v>0.0</v>
      </c>
      <c r="AF93" s="20">
        <v>0.0</v>
      </c>
      <c r="AG93" s="20">
        <v>0.0</v>
      </c>
      <c r="AH93" s="19">
        <f t="shared" si="26"/>
        <v>0</v>
      </c>
    </row>
    <row r="94">
      <c r="A94" s="16" t="s">
        <v>89</v>
      </c>
      <c r="B94" s="27">
        <f t="shared" si="25"/>
        <v>0.005927553442</v>
      </c>
      <c r="C94" s="20">
        <v>0.0</v>
      </c>
      <c r="D94" s="20">
        <v>0.0</v>
      </c>
      <c r="E94" s="20">
        <v>0.0</v>
      </c>
      <c r="F94" s="20">
        <v>0.0</v>
      </c>
      <c r="G94" s="20">
        <v>0.0</v>
      </c>
      <c r="H94" s="17">
        <v>216000.0</v>
      </c>
      <c r="I94" s="20">
        <v>0.0</v>
      </c>
      <c r="J94" s="20">
        <v>0.0</v>
      </c>
      <c r="K94" s="20">
        <v>0.0</v>
      </c>
      <c r="L94" s="20">
        <v>0.0</v>
      </c>
      <c r="M94" s="20">
        <v>0.0</v>
      </c>
      <c r="N94" s="20">
        <v>0.0</v>
      </c>
      <c r="O94" s="20">
        <v>0.0</v>
      </c>
      <c r="P94" s="20">
        <v>0.0</v>
      </c>
      <c r="Q94" s="20">
        <v>0.0</v>
      </c>
      <c r="R94" s="20">
        <v>0.0</v>
      </c>
      <c r="S94" s="20">
        <v>0.0</v>
      </c>
      <c r="T94" s="20">
        <v>0.0</v>
      </c>
      <c r="U94" s="20">
        <v>0.0</v>
      </c>
      <c r="V94" s="20">
        <v>0.0</v>
      </c>
      <c r="W94" s="20">
        <v>0.0</v>
      </c>
      <c r="X94" s="20">
        <v>0.0</v>
      </c>
      <c r="Y94" s="20">
        <v>0.0</v>
      </c>
      <c r="Z94" s="20">
        <v>0.0</v>
      </c>
      <c r="AA94" s="20">
        <v>0.0</v>
      </c>
      <c r="AB94" s="20">
        <v>0.0</v>
      </c>
      <c r="AC94" s="20">
        <v>0.0</v>
      </c>
      <c r="AD94" s="20">
        <v>0.0</v>
      </c>
      <c r="AE94" s="20">
        <v>0.0</v>
      </c>
      <c r="AF94" s="20">
        <v>0.0</v>
      </c>
      <c r="AG94" s="20">
        <v>0.0</v>
      </c>
      <c r="AH94" s="19">
        <f t="shared" si="26"/>
        <v>216000</v>
      </c>
    </row>
    <row r="95">
      <c r="A95" s="16" t="s">
        <v>90</v>
      </c>
      <c r="B95" s="27">
        <f t="shared" si="25"/>
        <v>0.05140168527</v>
      </c>
      <c r="C95" s="20">
        <v>0.0</v>
      </c>
      <c r="D95" s="20">
        <v>0.0</v>
      </c>
      <c r="E95" s="20">
        <v>0.0</v>
      </c>
      <c r="F95" s="20">
        <v>0.0</v>
      </c>
      <c r="G95" s="20">
        <v>0.0</v>
      </c>
      <c r="H95" s="20">
        <v>0.0</v>
      </c>
      <c r="I95" s="20">
        <v>0.0</v>
      </c>
      <c r="J95" s="20">
        <v>0.0</v>
      </c>
      <c r="K95" s="20">
        <v>0.0</v>
      </c>
      <c r="L95" s="17">
        <v>1873077.0</v>
      </c>
      <c r="M95" s="20">
        <v>0.0</v>
      </c>
      <c r="N95" s="20">
        <v>0.0</v>
      </c>
      <c r="O95" s="20">
        <v>0.0</v>
      </c>
      <c r="P95" s="20">
        <v>0.0</v>
      </c>
      <c r="Q95" s="20">
        <v>0.0</v>
      </c>
      <c r="R95" s="20">
        <v>0.0</v>
      </c>
      <c r="S95" s="20">
        <v>0.0</v>
      </c>
      <c r="T95" s="20">
        <v>0.0</v>
      </c>
      <c r="U95" s="20">
        <v>0.0</v>
      </c>
      <c r="V95" s="20">
        <v>0.0</v>
      </c>
      <c r="W95" s="20">
        <v>0.0</v>
      </c>
      <c r="X95" s="20">
        <v>0.0</v>
      </c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20">
        <v>0.0</v>
      </c>
      <c r="AF95" s="20">
        <v>0.0</v>
      </c>
      <c r="AG95" s="20">
        <v>0.0</v>
      </c>
      <c r="AH95" s="19">
        <f t="shared" si="26"/>
        <v>1873077</v>
      </c>
    </row>
    <row r="96">
      <c r="A96" s="16" t="s">
        <v>91</v>
      </c>
      <c r="B96" s="27">
        <f t="shared" si="25"/>
        <v>0</v>
      </c>
      <c r="C96" s="20">
        <v>0.0</v>
      </c>
      <c r="D96" s="20">
        <v>0.0</v>
      </c>
      <c r="E96" s="20">
        <v>0.0</v>
      </c>
      <c r="F96" s="20">
        <v>0.0</v>
      </c>
      <c r="G96" s="20">
        <v>0.0</v>
      </c>
      <c r="H96" s="20">
        <v>0.0</v>
      </c>
      <c r="I96" s="20">
        <v>0.0</v>
      </c>
      <c r="J96" s="20">
        <v>0.0</v>
      </c>
      <c r="K96" s="20">
        <v>0.0</v>
      </c>
      <c r="L96" s="20">
        <v>0.0</v>
      </c>
      <c r="M96" s="20">
        <v>0.0</v>
      </c>
      <c r="N96" s="20">
        <v>0.0</v>
      </c>
      <c r="O96" s="20">
        <v>0.0</v>
      </c>
      <c r="P96" s="20">
        <v>0.0</v>
      </c>
      <c r="Q96" s="20">
        <v>0.0</v>
      </c>
      <c r="R96" s="20">
        <v>0.0</v>
      </c>
      <c r="S96" s="20">
        <v>0.0</v>
      </c>
      <c r="T96" s="20">
        <v>0.0</v>
      </c>
      <c r="U96" s="20">
        <v>0.0</v>
      </c>
      <c r="V96" s="20">
        <v>0.0</v>
      </c>
      <c r="W96" s="20">
        <v>0.0</v>
      </c>
      <c r="X96" s="20">
        <v>0.0</v>
      </c>
      <c r="Y96" s="20">
        <v>0.0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20">
        <v>0.0</v>
      </c>
      <c r="AF96" s="20">
        <v>0.0</v>
      </c>
      <c r="AG96" s="20">
        <v>0.0</v>
      </c>
      <c r="AH96" s="19">
        <f t="shared" si="26"/>
        <v>0</v>
      </c>
    </row>
    <row r="97">
      <c r="A97" s="16" t="s">
        <v>92</v>
      </c>
      <c r="B97" s="27">
        <f t="shared" si="25"/>
        <v>0</v>
      </c>
      <c r="C97" s="20">
        <v>0.0</v>
      </c>
      <c r="D97" s="20">
        <v>0.0</v>
      </c>
      <c r="E97" s="20">
        <v>0.0</v>
      </c>
      <c r="F97" s="20">
        <v>0.0</v>
      </c>
      <c r="G97" s="20">
        <v>0.0</v>
      </c>
      <c r="H97" s="20">
        <v>0.0</v>
      </c>
      <c r="I97" s="20">
        <v>0.0</v>
      </c>
      <c r="J97" s="20">
        <v>0.0</v>
      </c>
      <c r="K97" s="20">
        <v>0.0</v>
      </c>
      <c r="L97" s="20">
        <v>0.0</v>
      </c>
      <c r="M97" s="20">
        <v>0.0</v>
      </c>
      <c r="N97" s="20">
        <v>0.0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20">
        <v>0.0</v>
      </c>
      <c r="W97" s="20">
        <v>0.0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20">
        <v>0.0</v>
      </c>
      <c r="AD97" s="20">
        <v>0.0</v>
      </c>
      <c r="AE97" s="20">
        <v>0.0</v>
      </c>
      <c r="AF97" s="20">
        <v>0.0</v>
      </c>
      <c r="AG97" s="20">
        <v>0.0</v>
      </c>
      <c r="AH97" s="19">
        <f t="shared" si="26"/>
        <v>0</v>
      </c>
    </row>
    <row r="98">
      <c r="A98" s="16" t="s">
        <v>93</v>
      </c>
      <c r="B98" s="27">
        <f t="shared" si="25"/>
        <v>0.002268386887</v>
      </c>
      <c r="C98" s="17">
        <v>18000.0</v>
      </c>
      <c r="D98" s="20">
        <v>0.0</v>
      </c>
      <c r="E98" s="20">
        <v>0.0</v>
      </c>
      <c r="F98" s="20">
        <v>0.0</v>
      </c>
      <c r="G98" s="20">
        <v>0.0</v>
      </c>
      <c r="H98" s="20">
        <v>0.0</v>
      </c>
      <c r="I98" s="20">
        <v>0.0</v>
      </c>
      <c r="J98" s="17">
        <v>24980.0</v>
      </c>
      <c r="K98" s="17">
        <v>39680.0</v>
      </c>
      <c r="L98" s="20">
        <v>0.0</v>
      </c>
      <c r="M98" s="20">
        <v>0.0</v>
      </c>
      <c r="N98" s="20">
        <v>0.0</v>
      </c>
      <c r="O98" s="20">
        <v>0.0</v>
      </c>
      <c r="P98" s="20">
        <v>0.0</v>
      </c>
      <c r="Q98" s="20">
        <v>0.0</v>
      </c>
      <c r="R98" s="20">
        <v>0.0</v>
      </c>
      <c r="S98" s="20">
        <v>0.0</v>
      </c>
      <c r="T98" s="20">
        <v>0.0</v>
      </c>
      <c r="U98" s="20">
        <v>0.0</v>
      </c>
      <c r="V98" s="20">
        <v>0.0</v>
      </c>
      <c r="W98" s="20">
        <v>0.0</v>
      </c>
      <c r="X98" s="20">
        <v>0.0</v>
      </c>
      <c r="Y98" s="20">
        <v>0.0</v>
      </c>
      <c r="Z98" s="20">
        <v>0.0</v>
      </c>
      <c r="AA98" s="20">
        <v>0.0</v>
      </c>
      <c r="AB98" s="20">
        <v>0.0</v>
      </c>
      <c r="AC98" s="20">
        <v>0.0</v>
      </c>
      <c r="AD98" s="20">
        <v>0.0</v>
      </c>
      <c r="AE98" s="20">
        <v>0.0</v>
      </c>
      <c r="AF98" s="20">
        <v>0.0</v>
      </c>
      <c r="AG98" s="20">
        <v>0.0</v>
      </c>
      <c r="AH98" s="19">
        <f t="shared" si="26"/>
        <v>82660</v>
      </c>
    </row>
    <row r="99">
      <c r="A99" s="7"/>
      <c r="B99" s="8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>
      <c r="A100" s="51" t="s">
        <v>94</v>
      </c>
      <c r="B100" s="52">
        <f t="shared" ref="B100:B102" si="28">AH100/$AH$10</f>
        <v>0.1085012587</v>
      </c>
      <c r="C100" s="53">
        <f t="shared" ref="C100:AH100" si="27">SUM(C101:C102)</f>
        <v>0</v>
      </c>
      <c r="D100" s="53">
        <f t="shared" si="27"/>
        <v>0</v>
      </c>
      <c r="E100" s="53">
        <f t="shared" si="27"/>
        <v>0</v>
      </c>
      <c r="F100" s="53">
        <f t="shared" si="27"/>
        <v>0</v>
      </c>
      <c r="G100" s="53">
        <f t="shared" si="27"/>
        <v>0</v>
      </c>
      <c r="H100" s="53">
        <f t="shared" si="27"/>
        <v>0</v>
      </c>
      <c r="I100" s="53">
        <f t="shared" si="27"/>
        <v>0</v>
      </c>
      <c r="J100" s="53">
        <f t="shared" si="27"/>
        <v>0</v>
      </c>
      <c r="K100" s="53">
        <f t="shared" si="27"/>
        <v>0</v>
      </c>
      <c r="L100" s="53">
        <f t="shared" si="27"/>
        <v>0</v>
      </c>
      <c r="M100" s="53">
        <f t="shared" si="27"/>
        <v>0</v>
      </c>
      <c r="N100" s="53">
        <f t="shared" si="27"/>
        <v>0</v>
      </c>
      <c r="O100" s="53">
        <f t="shared" si="27"/>
        <v>0</v>
      </c>
      <c r="P100" s="53">
        <f t="shared" si="27"/>
        <v>0</v>
      </c>
      <c r="Q100" s="53">
        <f t="shared" si="27"/>
        <v>0</v>
      </c>
      <c r="R100" s="53">
        <f t="shared" si="27"/>
        <v>0</v>
      </c>
      <c r="S100" s="53">
        <f t="shared" si="27"/>
        <v>0</v>
      </c>
      <c r="T100" s="53">
        <f t="shared" si="27"/>
        <v>3953785</v>
      </c>
      <c r="U100" s="53">
        <f t="shared" si="27"/>
        <v>0</v>
      </c>
      <c r="V100" s="53">
        <f t="shared" si="27"/>
        <v>0</v>
      </c>
      <c r="W100" s="53">
        <f t="shared" si="27"/>
        <v>0</v>
      </c>
      <c r="X100" s="53">
        <f t="shared" si="27"/>
        <v>0</v>
      </c>
      <c r="Y100" s="53">
        <f t="shared" si="27"/>
        <v>0</v>
      </c>
      <c r="Z100" s="53">
        <f t="shared" si="27"/>
        <v>0</v>
      </c>
      <c r="AA100" s="53">
        <f t="shared" si="27"/>
        <v>0</v>
      </c>
      <c r="AB100" s="53">
        <f t="shared" si="27"/>
        <v>0</v>
      </c>
      <c r="AC100" s="53">
        <f t="shared" si="27"/>
        <v>0</v>
      </c>
      <c r="AD100" s="53">
        <f t="shared" si="27"/>
        <v>0</v>
      </c>
      <c r="AE100" s="53">
        <f t="shared" si="27"/>
        <v>0</v>
      </c>
      <c r="AF100" s="53">
        <f t="shared" si="27"/>
        <v>0</v>
      </c>
      <c r="AG100" s="53">
        <f t="shared" si="27"/>
        <v>0</v>
      </c>
      <c r="AH100" s="54">
        <f t="shared" si="27"/>
        <v>3953785</v>
      </c>
    </row>
    <row r="101">
      <c r="A101" s="16" t="s">
        <v>95</v>
      </c>
      <c r="B101" s="27">
        <f t="shared" si="28"/>
        <v>0</v>
      </c>
      <c r="C101" s="20">
        <v>0.0</v>
      </c>
      <c r="D101" s="20">
        <v>0.0</v>
      </c>
      <c r="E101" s="20">
        <v>0.0</v>
      </c>
      <c r="F101" s="20">
        <v>0.0</v>
      </c>
      <c r="G101" s="20">
        <v>0.0</v>
      </c>
      <c r="H101" s="20">
        <v>0.0</v>
      </c>
      <c r="I101" s="20">
        <v>0.0</v>
      </c>
      <c r="J101" s="20">
        <v>0.0</v>
      </c>
      <c r="K101" s="20">
        <v>0.0</v>
      </c>
      <c r="L101" s="20">
        <v>0.0</v>
      </c>
      <c r="M101" s="20">
        <v>0.0</v>
      </c>
      <c r="N101" s="20">
        <v>0.0</v>
      </c>
      <c r="O101" s="20">
        <v>0.0</v>
      </c>
      <c r="P101" s="20">
        <v>0.0</v>
      </c>
      <c r="Q101" s="20">
        <v>0.0</v>
      </c>
      <c r="R101" s="20">
        <v>0.0</v>
      </c>
      <c r="S101" s="20">
        <v>0.0</v>
      </c>
      <c r="T101" s="20">
        <v>0.0</v>
      </c>
      <c r="U101" s="20">
        <v>0.0</v>
      </c>
      <c r="V101" s="20">
        <v>0.0</v>
      </c>
      <c r="W101" s="20">
        <v>0.0</v>
      </c>
      <c r="X101" s="20">
        <v>0.0</v>
      </c>
      <c r="Y101" s="20">
        <v>0.0</v>
      </c>
      <c r="Z101" s="20">
        <v>0.0</v>
      </c>
      <c r="AA101" s="20">
        <v>0.0</v>
      </c>
      <c r="AB101" s="20">
        <v>0.0</v>
      </c>
      <c r="AC101" s="20">
        <v>0.0</v>
      </c>
      <c r="AD101" s="20">
        <v>0.0</v>
      </c>
      <c r="AE101" s="20">
        <v>0.0</v>
      </c>
      <c r="AF101" s="20">
        <v>0.0</v>
      </c>
      <c r="AG101" s="20">
        <v>0.0</v>
      </c>
      <c r="AH101" s="19">
        <f t="shared" ref="AH101:AH102" si="29">SUM(C101:AG101)</f>
        <v>0</v>
      </c>
    </row>
    <row r="102">
      <c r="A102" s="16" t="s">
        <v>96</v>
      </c>
      <c r="B102" s="27">
        <f t="shared" si="28"/>
        <v>0.1085012587</v>
      </c>
      <c r="C102" s="20">
        <v>0.0</v>
      </c>
      <c r="D102" s="20">
        <v>0.0</v>
      </c>
      <c r="E102" s="20">
        <v>0.0</v>
      </c>
      <c r="F102" s="20">
        <v>0.0</v>
      </c>
      <c r="G102" s="20">
        <v>0.0</v>
      </c>
      <c r="H102" s="20">
        <v>0.0</v>
      </c>
      <c r="I102" s="20">
        <v>0.0</v>
      </c>
      <c r="J102" s="20">
        <v>0.0</v>
      </c>
      <c r="K102" s="20">
        <v>0.0</v>
      </c>
      <c r="L102" s="20">
        <v>0.0</v>
      </c>
      <c r="M102" s="20">
        <v>0.0</v>
      </c>
      <c r="N102" s="20">
        <v>0.0</v>
      </c>
      <c r="O102" s="20">
        <v>0.0</v>
      </c>
      <c r="P102" s="20">
        <v>0.0</v>
      </c>
      <c r="Q102" s="20">
        <v>0.0</v>
      </c>
      <c r="R102" s="20">
        <v>0.0</v>
      </c>
      <c r="S102" s="20">
        <v>0.0</v>
      </c>
      <c r="T102" s="17">
        <v>3953785.0</v>
      </c>
      <c r="U102" s="17">
        <v>0.0</v>
      </c>
      <c r="V102" s="17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20">
        <v>0.0</v>
      </c>
      <c r="AE102" s="20">
        <v>0.0</v>
      </c>
      <c r="AF102" s="20">
        <v>0.0</v>
      </c>
      <c r="AG102" s="20">
        <v>0.0</v>
      </c>
      <c r="AH102" s="19">
        <f t="shared" si="29"/>
        <v>3953785</v>
      </c>
    </row>
    <row r="103">
      <c r="A103" s="7"/>
      <c r="B103" s="8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7"/>
      <c r="AH103" s="7"/>
    </row>
    <row r="104">
      <c r="A104" s="55" t="s">
        <v>97</v>
      </c>
      <c r="B104" s="56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8"/>
      <c r="AH104" s="38">
        <f>AH105+AH106</f>
        <v>1760416</v>
      </c>
    </row>
    <row r="105">
      <c r="A105" s="16" t="s">
        <v>98</v>
      </c>
      <c r="B105" s="8"/>
      <c r="C105" s="20">
        <v>0.0</v>
      </c>
      <c r="D105" s="20">
        <v>0.0</v>
      </c>
      <c r="E105" s="20">
        <v>0.0</v>
      </c>
      <c r="F105" s="20">
        <v>0.0</v>
      </c>
      <c r="G105" s="20">
        <v>0.0</v>
      </c>
      <c r="H105" s="20">
        <v>0.0</v>
      </c>
      <c r="I105" s="20">
        <v>0.0</v>
      </c>
      <c r="J105" s="20">
        <v>0.0</v>
      </c>
      <c r="K105" s="20">
        <v>0.0</v>
      </c>
      <c r="L105" s="20">
        <v>0.0</v>
      </c>
      <c r="M105" s="20">
        <v>0.0</v>
      </c>
      <c r="N105" s="20">
        <v>0.0</v>
      </c>
      <c r="O105" s="20">
        <v>0.0</v>
      </c>
      <c r="P105" s="20">
        <v>0.0</v>
      </c>
      <c r="Q105" s="20">
        <v>0.0</v>
      </c>
      <c r="R105" s="20">
        <v>0.0</v>
      </c>
      <c r="S105" s="20">
        <v>0.0</v>
      </c>
      <c r="T105" s="20">
        <v>0.0</v>
      </c>
      <c r="U105" s="20">
        <v>0.0</v>
      </c>
      <c r="V105" s="20">
        <v>0.0</v>
      </c>
      <c r="W105" s="20">
        <v>0.0</v>
      </c>
      <c r="X105" s="20">
        <v>0.0</v>
      </c>
      <c r="Y105" s="20">
        <v>0.0</v>
      </c>
      <c r="Z105" s="20">
        <v>0.0</v>
      </c>
      <c r="AA105" s="20">
        <v>0.0</v>
      </c>
      <c r="AB105" s="17">
        <v>0.0</v>
      </c>
      <c r="AC105" s="20">
        <v>0.0</v>
      </c>
      <c r="AD105" s="20">
        <v>0.0</v>
      </c>
      <c r="AE105" s="17">
        <v>1760416.0</v>
      </c>
      <c r="AF105" s="20">
        <v>0.0</v>
      </c>
      <c r="AG105" s="20">
        <v>0.0</v>
      </c>
      <c r="AH105" s="59">
        <f t="shared" ref="AH105:AH106" si="30">sum(C105:AG105)</f>
        <v>1760416</v>
      </c>
    </row>
    <row r="106">
      <c r="A106" s="7"/>
      <c r="B106" s="8"/>
      <c r="C106" s="20">
        <v>0.0</v>
      </c>
      <c r="D106" s="20">
        <v>0.0</v>
      </c>
      <c r="E106" s="20">
        <v>0.0</v>
      </c>
      <c r="F106" s="20">
        <v>0.0</v>
      </c>
      <c r="G106" s="20">
        <v>0.0</v>
      </c>
      <c r="H106" s="20">
        <v>0.0</v>
      </c>
      <c r="I106" s="20">
        <v>0.0</v>
      </c>
      <c r="J106" s="20">
        <v>0.0</v>
      </c>
      <c r="K106" s="20">
        <v>0.0</v>
      </c>
      <c r="L106" s="20">
        <v>0.0</v>
      </c>
      <c r="M106" s="20">
        <v>0.0</v>
      </c>
      <c r="N106" s="20">
        <v>0.0</v>
      </c>
      <c r="O106" s="20">
        <v>0.0</v>
      </c>
      <c r="P106" s="20">
        <v>0.0</v>
      </c>
      <c r="Q106" s="20">
        <v>0.0</v>
      </c>
      <c r="R106" s="20">
        <v>0.0</v>
      </c>
      <c r="S106" s="20">
        <v>0.0</v>
      </c>
      <c r="T106" s="20">
        <v>0.0</v>
      </c>
      <c r="U106" s="20">
        <v>0.0</v>
      </c>
      <c r="V106" s="20">
        <v>0.0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20">
        <v>0.0</v>
      </c>
      <c r="AC106" s="20">
        <v>0.0</v>
      </c>
      <c r="AD106" s="20">
        <v>0.0</v>
      </c>
      <c r="AE106" s="20">
        <v>0.0</v>
      </c>
      <c r="AF106" s="20">
        <v>0.0</v>
      </c>
      <c r="AG106" s="20">
        <v>0.0</v>
      </c>
      <c r="AH106" s="59">
        <f t="shared" si="30"/>
        <v>0</v>
      </c>
    </row>
    <row r="107">
      <c r="A107" s="7"/>
      <c r="B107" s="8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7"/>
      <c r="AH107" s="7"/>
    </row>
    <row r="108">
      <c r="A108" s="60" t="s">
        <v>99</v>
      </c>
      <c r="B108" s="61"/>
      <c r="C108" s="62">
        <f t="shared" ref="C108:AG108" si="31">C100+C89+C83+C33+C77+C12+C105+C106</f>
        <v>673705</v>
      </c>
      <c r="D108" s="62">
        <f t="shared" si="31"/>
        <v>706815</v>
      </c>
      <c r="E108" s="62">
        <f t="shared" si="31"/>
        <v>140425</v>
      </c>
      <c r="F108" s="62">
        <f t="shared" si="31"/>
        <v>116351</v>
      </c>
      <c r="G108" s="62">
        <f t="shared" si="31"/>
        <v>920059</v>
      </c>
      <c r="H108" s="62">
        <f t="shared" si="31"/>
        <v>1647141</v>
      </c>
      <c r="I108" s="62">
        <f t="shared" si="31"/>
        <v>3016789</v>
      </c>
      <c r="J108" s="62">
        <f t="shared" si="31"/>
        <v>600867</v>
      </c>
      <c r="K108" s="62">
        <f t="shared" si="31"/>
        <v>720155</v>
      </c>
      <c r="L108" s="62">
        <f t="shared" si="31"/>
        <v>2614284</v>
      </c>
      <c r="M108" s="62">
        <f t="shared" si="31"/>
        <v>14380</v>
      </c>
      <c r="N108" s="62">
        <f t="shared" si="31"/>
        <v>0</v>
      </c>
      <c r="O108" s="62">
        <f t="shared" si="31"/>
        <v>330721</v>
      </c>
      <c r="P108" s="62">
        <f t="shared" si="31"/>
        <v>3980995</v>
      </c>
      <c r="Q108" s="62">
        <f t="shared" si="31"/>
        <v>2057650</v>
      </c>
      <c r="R108" s="62">
        <f t="shared" si="31"/>
        <v>1072802</v>
      </c>
      <c r="S108" s="62">
        <f t="shared" si="31"/>
        <v>1131114</v>
      </c>
      <c r="T108" s="62">
        <f t="shared" si="31"/>
        <v>3984203</v>
      </c>
      <c r="U108" s="62">
        <f t="shared" si="31"/>
        <v>340601</v>
      </c>
      <c r="V108" s="62">
        <f t="shared" si="31"/>
        <v>551952</v>
      </c>
      <c r="W108" s="62">
        <f t="shared" si="31"/>
        <v>1019184</v>
      </c>
      <c r="X108" s="62">
        <f t="shared" si="31"/>
        <v>386950</v>
      </c>
      <c r="Y108" s="62">
        <f t="shared" si="31"/>
        <v>332547</v>
      </c>
      <c r="Z108" s="62">
        <f t="shared" si="31"/>
        <v>1198667</v>
      </c>
      <c r="AA108" s="62">
        <f t="shared" si="31"/>
        <v>1103392</v>
      </c>
      <c r="AB108" s="62">
        <f t="shared" si="31"/>
        <v>0</v>
      </c>
      <c r="AC108" s="62">
        <f t="shared" si="31"/>
        <v>558045</v>
      </c>
      <c r="AD108" s="62">
        <f t="shared" si="31"/>
        <v>1496793</v>
      </c>
      <c r="AE108" s="62">
        <f t="shared" si="31"/>
        <v>2563941</v>
      </c>
      <c r="AF108" s="62">
        <f t="shared" si="31"/>
        <v>9712022</v>
      </c>
      <c r="AG108" s="62">
        <f t="shared" si="31"/>
        <v>0</v>
      </c>
      <c r="AH108" s="63">
        <f>sum(C108:AF108)</f>
        <v>42992550</v>
      </c>
    </row>
    <row r="109">
      <c r="A109" s="64" t="s">
        <v>100</v>
      </c>
      <c r="B109" s="65"/>
      <c r="C109" s="63">
        <f t="shared" ref="C109:AG109" si="32">C100+C89+C33+C77+C12</f>
        <v>673705</v>
      </c>
      <c r="D109" s="63">
        <f t="shared" si="32"/>
        <v>105528</v>
      </c>
      <c r="E109" s="63">
        <f t="shared" si="32"/>
        <v>140425</v>
      </c>
      <c r="F109" s="63">
        <f t="shared" si="32"/>
        <v>116351</v>
      </c>
      <c r="G109" s="63">
        <f t="shared" si="32"/>
        <v>920059</v>
      </c>
      <c r="H109" s="63">
        <f t="shared" si="32"/>
        <v>1035760</v>
      </c>
      <c r="I109" s="63">
        <f t="shared" si="32"/>
        <v>3016789</v>
      </c>
      <c r="J109" s="63">
        <f t="shared" si="32"/>
        <v>600867</v>
      </c>
      <c r="K109" s="63">
        <f t="shared" si="32"/>
        <v>720155</v>
      </c>
      <c r="L109" s="63">
        <f t="shared" si="32"/>
        <v>2052227</v>
      </c>
      <c r="M109" s="63">
        <f t="shared" si="32"/>
        <v>14380</v>
      </c>
      <c r="N109" s="63">
        <f t="shared" si="32"/>
        <v>0</v>
      </c>
      <c r="O109" s="63">
        <f t="shared" si="32"/>
        <v>330721</v>
      </c>
      <c r="P109" s="63">
        <f t="shared" si="32"/>
        <v>3578588</v>
      </c>
      <c r="Q109" s="63">
        <f t="shared" si="32"/>
        <v>2057650</v>
      </c>
      <c r="R109" s="63">
        <f t="shared" si="32"/>
        <v>451133</v>
      </c>
      <c r="S109" s="63">
        <f t="shared" si="32"/>
        <v>1131114</v>
      </c>
      <c r="T109" s="63">
        <f t="shared" si="32"/>
        <v>3984203</v>
      </c>
      <c r="U109" s="63">
        <f t="shared" si="32"/>
        <v>340601</v>
      </c>
      <c r="V109" s="63">
        <f t="shared" si="32"/>
        <v>144000</v>
      </c>
      <c r="W109" s="63">
        <f t="shared" si="32"/>
        <v>1019184</v>
      </c>
      <c r="X109" s="63">
        <f t="shared" si="32"/>
        <v>386950</v>
      </c>
      <c r="Y109" s="63">
        <f t="shared" si="32"/>
        <v>332547</v>
      </c>
      <c r="Z109" s="63">
        <f t="shared" si="32"/>
        <v>740017</v>
      </c>
      <c r="AA109" s="63">
        <f t="shared" si="32"/>
        <v>1103392</v>
      </c>
      <c r="AB109" s="63">
        <f t="shared" si="32"/>
        <v>0</v>
      </c>
      <c r="AC109" s="63">
        <f t="shared" si="32"/>
        <v>5000</v>
      </c>
      <c r="AD109" s="63">
        <f t="shared" si="32"/>
        <v>1496793</v>
      </c>
      <c r="AE109" s="63">
        <f t="shared" si="32"/>
        <v>803525</v>
      </c>
      <c r="AF109" s="63">
        <f t="shared" si="32"/>
        <v>9712022</v>
      </c>
      <c r="AG109" s="63">
        <f t="shared" si="32"/>
        <v>0</v>
      </c>
      <c r="AH109" s="63">
        <f>sum(C109:AG109)</f>
        <v>37013686</v>
      </c>
    </row>
    <row r="110">
      <c r="A110" s="7"/>
      <c r="B110" s="8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7"/>
      <c r="AH110" s="7"/>
    </row>
    <row r="111">
      <c r="A111" s="21" t="s">
        <v>101</v>
      </c>
      <c r="B111" s="27">
        <f>AH111/$AH$10</f>
        <v>-0.01574352706</v>
      </c>
      <c r="C111" s="22">
        <f t="shared" ref="C111:AG111" si="33">C9-C109</f>
        <v>1100529</v>
      </c>
      <c r="D111" s="22">
        <f t="shared" si="33"/>
        <v>1469292</v>
      </c>
      <c r="E111" s="22">
        <f t="shared" si="33"/>
        <v>1564741</v>
      </c>
      <c r="F111" s="22">
        <f t="shared" si="33"/>
        <v>1657563</v>
      </c>
      <c r="G111" s="22">
        <f t="shared" si="33"/>
        <v>940974</v>
      </c>
      <c r="H111" s="22">
        <f t="shared" si="33"/>
        <v>485450</v>
      </c>
      <c r="I111" s="22">
        <f t="shared" si="33"/>
        <v>-2695626</v>
      </c>
      <c r="J111" s="22">
        <f t="shared" si="33"/>
        <v>946056</v>
      </c>
      <c r="K111" s="22">
        <f t="shared" si="33"/>
        <v>446088</v>
      </c>
      <c r="L111" s="22">
        <f t="shared" si="33"/>
        <v>-10862</v>
      </c>
      <c r="M111" s="22">
        <f t="shared" si="33"/>
        <v>1397144</v>
      </c>
      <c r="N111" s="22">
        <f t="shared" si="33"/>
        <v>1820905</v>
      </c>
      <c r="O111" s="22">
        <f t="shared" si="33"/>
        <v>414858</v>
      </c>
      <c r="P111" s="22">
        <f t="shared" si="33"/>
        <v>-2653796</v>
      </c>
      <c r="Q111" s="22">
        <f t="shared" si="33"/>
        <v>-960496</v>
      </c>
      <c r="R111" s="22">
        <f t="shared" si="33"/>
        <v>514557</v>
      </c>
      <c r="S111" s="22">
        <f t="shared" si="33"/>
        <v>-329477</v>
      </c>
      <c r="T111" s="22">
        <f t="shared" si="33"/>
        <v>-2700943</v>
      </c>
      <c r="U111" s="22">
        <f t="shared" si="33"/>
        <v>1474627</v>
      </c>
      <c r="V111" s="22">
        <f t="shared" si="33"/>
        <v>1352479</v>
      </c>
      <c r="W111" s="22">
        <f t="shared" si="33"/>
        <v>-208986</v>
      </c>
      <c r="X111" s="22">
        <f t="shared" si="33"/>
        <v>583430</v>
      </c>
      <c r="Y111" s="22">
        <f t="shared" si="33"/>
        <v>916442</v>
      </c>
      <c r="Z111" s="22">
        <f t="shared" si="33"/>
        <v>1446310</v>
      </c>
      <c r="AA111" s="22">
        <f t="shared" si="33"/>
        <v>127129</v>
      </c>
      <c r="AB111" s="22">
        <f t="shared" si="33"/>
        <v>2385235</v>
      </c>
      <c r="AC111" s="22">
        <f t="shared" si="33"/>
        <v>1166253</v>
      </c>
      <c r="AD111" s="22">
        <f t="shared" si="33"/>
        <v>-338759</v>
      </c>
      <c r="AE111" s="22">
        <f t="shared" si="33"/>
        <v>-84596</v>
      </c>
      <c r="AF111" s="22">
        <f t="shared" si="33"/>
        <v>-8581767</v>
      </c>
      <c r="AG111" s="22">
        <f t="shared" si="33"/>
        <v>0</v>
      </c>
      <c r="AH111" s="19">
        <f>AH10-AH109</f>
        <v>-573694</v>
      </c>
    </row>
    <row r="112">
      <c r="A112" s="7"/>
      <c r="B112" s="8"/>
      <c r="C112" s="66"/>
      <c r="D112" s="66"/>
      <c r="E112" s="66"/>
      <c r="F112" s="66"/>
      <c r="G112" s="66"/>
      <c r="H112" s="66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7"/>
      <c r="B1002" s="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7"/>
      <c r="B1003" s="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7"/>
      <c r="B1004" s="8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7"/>
      <c r="B1005" s="8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7"/>
      <c r="B1006" s="8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7"/>
      <c r="B1007" s="8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7"/>
      <c r="B1008" s="8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7"/>
      <c r="B1009" s="8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7"/>
      <c r="B1010" s="8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7"/>
      <c r="B1011" s="8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7"/>
      <c r="B1012" s="8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7"/>
      <c r="B1013" s="8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7"/>
      <c r="B1014" s="8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7"/>
      <c r="B1015" s="8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7"/>
      <c r="B1016" s="8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>
      <c r="A1017" s="7"/>
      <c r="B1017" s="8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>
      <c r="A1018" s="7"/>
      <c r="B1018" s="8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>
      <c r="A1019" s="7"/>
      <c r="B1019" s="8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>
      <c r="A1020" s="7"/>
      <c r="B1020" s="8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>
      <c r="A1021" s="7"/>
      <c r="B1021" s="8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>
      <c r="A1022" s="7"/>
      <c r="B1022" s="8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>
      <c r="A1023" s="7"/>
      <c r="B1023" s="8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>
      <c r="A1024" s="7"/>
      <c r="B1024" s="8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>
      <c r="A1025" s="7"/>
      <c r="B1025" s="8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>
      <c r="A1026" s="7"/>
      <c r="B1026" s="8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>
      <c r="A1027" s="7"/>
      <c r="B1027" s="8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>
      <c r="A1028" s="7"/>
      <c r="B1028" s="8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>
      <c r="A1029" s="7"/>
      <c r="B1029" s="8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>
      <c r="A1030" s="7"/>
      <c r="B1030" s="8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>
      <c r="A1031" s="7"/>
      <c r="B1031" s="8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>
      <c r="A1032" s="7"/>
      <c r="B1032" s="8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>
      <c r="A1033" s="7"/>
      <c r="B1033" s="8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>
      <c r="A1034" s="7"/>
      <c r="B1034" s="8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>
      <c r="A1035" s="7"/>
      <c r="B1035" s="8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>
      <c r="A1036" s="7"/>
      <c r="B1036" s="8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>
      <c r="A1037" s="7"/>
      <c r="B1037" s="8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>
      <c r="A1038" s="7"/>
      <c r="B1038" s="8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>
      <c r="A1039" s="7"/>
      <c r="B1039" s="8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>
      <c r="A1040" s="7"/>
      <c r="B1040" s="8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>
      <c r="A1041" s="7"/>
      <c r="B1041" s="8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>
      <c r="A1042" s="7"/>
      <c r="B1042" s="8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>
      <c r="A1043" s="7"/>
      <c r="B1043" s="8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>
      <c r="A1044" s="7"/>
      <c r="B1044" s="8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>
      <c r="A1045" s="7"/>
      <c r="B1045" s="8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>
      <c r="A1046" s="7"/>
      <c r="B1046" s="8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>
      <c r="A1047" s="7"/>
      <c r="B1047" s="8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>
      <c r="A1048" s="7"/>
      <c r="B1048" s="8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>
      <c r="A1049" s="7"/>
      <c r="B1049" s="8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</row>
    <row r="1050">
      <c r="A1050" s="7"/>
      <c r="B1050" s="8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  <row r="1051">
      <c r="A1051" s="7"/>
      <c r="B1051" s="8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63"/>
  </cols>
  <sheetData>
    <row r="1">
      <c r="A1" s="1"/>
      <c r="B1" s="3"/>
      <c r="C1" s="4">
        <v>46143.0</v>
      </c>
      <c r="D1" s="4">
        <v>46144.0</v>
      </c>
      <c r="E1" s="4">
        <v>46145.0</v>
      </c>
      <c r="F1" s="4">
        <v>46146.0</v>
      </c>
      <c r="G1" s="4">
        <v>46147.0</v>
      </c>
      <c r="H1" s="4">
        <v>46148.0</v>
      </c>
      <c r="I1" s="4">
        <v>46149.0</v>
      </c>
      <c r="J1" s="4">
        <v>46150.0</v>
      </c>
      <c r="K1" s="4">
        <v>46151.0</v>
      </c>
      <c r="L1" s="4">
        <v>46152.0</v>
      </c>
      <c r="M1" s="4">
        <v>46153.0</v>
      </c>
      <c r="N1" s="4">
        <v>46154.0</v>
      </c>
      <c r="O1" s="4">
        <v>46155.0</v>
      </c>
      <c r="P1" s="4">
        <v>46156.0</v>
      </c>
      <c r="Q1" s="4">
        <v>46157.0</v>
      </c>
      <c r="R1" s="4">
        <v>46158.0</v>
      </c>
      <c r="S1" s="4">
        <v>46159.0</v>
      </c>
      <c r="T1" s="4">
        <v>46160.0</v>
      </c>
      <c r="U1" s="4">
        <v>46161.0</v>
      </c>
      <c r="V1" s="4">
        <v>46162.0</v>
      </c>
      <c r="W1" s="4">
        <v>46163.0</v>
      </c>
      <c r="X1" s="4">
        <v>46164.0</v>
      </c>
      <c r="Y1" s="4">
        <v>46165.0</v>
      </c>
      <c r="Z1" s="4">
        <v>46166.0</v>
      </c>
      <c r="AA1" s="4">
        <v>46167.0</v>
      </c>
      <c r="AB1" s="4">
        <v>46168.0</v>
      </c>
      <c r="AC1" s="4">
        <v>46169.0</v>
      </c>
      <c r="AD1" s="4">
        <v>46170.0</v>
      </c>
      <c r="AE1" s="4">
        <v>46171.0</v>
      </c>
      <c r="AF1" s="4">
        <v>46172.0</v>
      </c>
      <c r="AG1" s="4">
        <v>46173.0</v>
      </c>
      <c r="AH1" s="6" t="s">
        <v>1</v>
      </c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7"/>
      <c r="AH2" s="7"/>
    </row>
    <row r="3">
      <c r="A3" s="7"/>
      <c r="B3" s="8"/>
      <c r="C3" s="10"/>
      <c r="D3" s="10"/>
      <c r="E3" s="10"/>
      <c r="F3" s="10"/>
      <c r="G3" s="10"/>
      <c r="H3" s="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11" t="s">
        <v>2</v>
      </c>
      <c r="B4" s="12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16" t="s">
        <v>3</v>
      </c>
      <c r="B5" s="8"/>
      <c r="C5" s="17">
        <f>176268+876421+398613+153572</f>
        <v>1604874</v>
      </c>
      <c r="D5" s="17">
        <f>54704+885148+53708+729585</f>
        <v>1723145</v>
      </c>
      <c r="E5" s="17">
        <f>1507569+130035+745469+32383+25807+26106</f>
        <v>2467369</v>
      </c>
      <c r="F5" s="17">
        <f>921294+208353+54922</f>
        <v>1184569</v>
      </c>
      <c r="G5" s="17">
        <f>206213</f>
        <v>206213</v>
      </c>
      <c r="H5" s="17">
        <f>334534+392994+93863</f>
        <v>821391</v>
      </c>
      <c r="I5" s="17">
        <f>38963+625658+36868+461008</f>
        <v>1162497</v>
      </c>
      <c r="J5" s="17">
        <f>31127+223853+527472+112795</f>
        <v>895247</v>
      </c>
      <c r="K5" s="17">
        <f>790736+386870+30491+73652</f>
        <v>1281749</v>
      </c>
      <c r="L5" s="17">
        <f>1625453+424379+71146+239144</f>
        <v>2360122</v>
      </c>
      <c r="M5" s="17">
        <f>343370+1584683</f>
        <v>1928053</v>
      </c>
      <c r="N5" s="17">
        <f>188528+73935+15067</f>
        <v>277530</v>
      </c>
      <c r="O5" s="17">
        <f>48098+492592+451824+28598</f>
        <v>1021112</v>
      </c>
      <c r="P5" s="17">
        <f>325461+424418+22318+90874</f>
        <v>863071</v>
      </c>
      <c r="Q5" s="17">
        <f>593353+1083769+20911+32179</f>
        <v>1730212</v>
      </c>
      <c r="R5" s="17">
        <f>771301+914259+36270+55401</f>
        <v>1777231</v>
      </c>
      <c r="S5" s="17">
        <f>1758376+421191+166503</f>
        <v>2346070</v>
      </c>
      <c r="T5" s="17">
        <f>168994+704875+108911</f>
        <v>982780</v>
      </c>
      <c r="U5" s="17">
        <f>224671</f>
        <v>224671</v>
      </c>
      <c r="V5" s="17">
        <f>495640+562402+42846</f>
        <v>1100888</v>
      </c>
      <c r="W5" s="17">
        <f>28299+354577+231200+79913</f>
        <v>693989</v>
      </c>
      <c r="X5" s="17">
        <f>25110+540530+787779</f>
        <v>1353419</v>
      </c>
      <c r="Y5" s="17">
        <f>1143873+561050+38651</f>
        <v>1743574</v>
      </c>
      <c r="Z5" s="17">
        <f>404999+447405+50020+80811+73038</f>
        <v>1056273</v>
      </c>
      <c r="AA5" s="17">
        <f>216107+628727</f>
        <v>844834</v>
      </c>
      <c r="AB5" s="17">
        <f>45437+12356+32584+201973+73608</f>
        <v>365958</v>
      </c>
      <c r="AC5" s="17">
        <f>493141+387109+27801+40158+24071</f>
        <v>972280</v>
      </c>
      <c r="AD5" s="17">
        <f>452991+37874+570759</f>
        <v>1061624</v>
      </c>
      <c r="AE5" s="17">
        <f>136890+512491+397376+26818+159537</f>
        <v>1233112</v>
      </c>
      <c r="AF5" s="17">
        <f>177862+837753+777605</f>
        <v>1793220</v>
      </c>
      <c r="AG5" s="17">
        <f>1562710+721614+107913</f>
        <v>2392237</v>
      </c>
      <c r="AH5" s="19">
        <f t="shared" ref="AH5:AH8" si="1">SUM(C5:AG5)</f>
        <v>39469314</v>
      </c>
    </row>
    <row r="6">
      <c r="A6" s="16" t="s">
        <v>4</v>
      </c>
      <c r="B6" s="8"/>
      <c r="C6" s="17">
        <v>6900.0</v>
      </c>
      <c r="D6" s="17">
        <v>0.0</v>
      </c>
      <c r="E6" s="17">
        <v>0.0</v>
      </c>
      <c r="F6" s="17">
        <v>0.0</v>
      </c>
      <c r="G6" s="17">
        <v>0.0</v>
      </c>
      <c r="H6" s="17">
        <v>0.0</v>
      </c>
      <c r="I6" s="17">
        <v>0.0</v>
      </c>
      <c r="J6" s="17">
        <f>52250+38100</f>
        <v>90350</v>
      </c>
      <c r="K6" s="17">
        <v>2800.0</v>
      </c>
      <c r="L6" s="17">
        <v>172200.0</v>
      </c>
      <c r="M6" s="17">
        <v>0.0</v>
      </c>
      <c r="N6" s="17">
        <v>116474.0</v>
      </c>
      <c r="O6" s="17">
        <v>20000.0</v>
      </c>
      <c r="P6" s="17">
        <v>0.0</v>
      </c>
      <c r="Q6" s="17">
        <v>0.0</v>
      </c>
      <c r="R6" s="17">
        <v>0.0</v>
      </c>
      <c r="S6" s="17">
        <v>0.0</v>
      </c>
      <c r="T6" s="17">
        <v>0.0</v>
      </c>
      <c r="U6" s="17">
        <v>39550.0</v>
      </c>
      <c r="V6" s="17">
        <v>0.0</v>
      </c>
      <c r="W6" s="17">
        <v>0.0</v>
      </c>
      <c r="X6" s="17">
        <v>21200.0</v>
      </c>
      <c r="Y6" s="17">
        <v>0.0</v>
      </c>
      <c r="Z6" s="17">
        <v>0.0</v>
      </c>
      <c r="AA6" s="17">
        <v>0.0</v>
      </c>
      <c r="AB6" s="17">
        <v>0.0</v>
      </c>
      <c r="AC6" s="17">
        <v>0.0</v>
      </c>
      <c r="AD6" s="17">
        <f>4000+22900</f>
        <v>26900</v>
      </c>
      <c r="AE6" s="17">
        <v>0.0</v>
      </c>
      <c r="AF6" s="17">
        <v>0.0</v>
      </c>
      <c r="AG6" s="17">
        <v>0.0</v>
      </c>
      <c r="AH6" s="19">
        <f t="shared" si="1"/>
        <v>496374</v>
      </c>
    </row>
    <row r="7">
      <c r="A7" s="16" t="s">
        <v>5</v>
      </c>
      <c r="B7" s="8"/>
      <c r="C7" s="17">
        <v>0.0</v>
      </c>
      <c r="D7" s="17">
        <v>0.0</v>
      </c>
      <c r="E7" s="17">
        <v>0.0</v>
      </c>
      <c r="F7" s="17">
        <v>0.0</v>
      </c>
      <c r="G7" s="17">
        <v>0.0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240000.0</v>
      </c>
      <c r="V7" s="17">
        <v>0.0</v>
      </c>
      <c r="W7" s="17">
        <v>0.0</v>
      </c>
      <c r="X7" s="17">
        <v>0.0</v>
      </c>
      <c r="Y7" s="17">
        <v>0.0</v>
      </c>
      <c r="Z7" s="17">
        <v>0.0</v>
      </c>
      <c r="AA7" s="17">
        <v>0.0</v>
      </c>
      <c r="AB7" s="17">
        <v>0.0</v>
      </c>
      <c r="AC7" s="17">
        <v>0.0</v>
      </c>
      <c r="AD7" s="17">
        <v>0.0</v>
      </c>
      <c r="AE7" s="17">
        <v>0.0</v>
      </c>
      <c r="AF7" s="17">
        <v>0.0</v>
      </c>
      <c r="AG7" s="17">
        <v>0.0</v>
      </c>
      <c r="AH7" s="19">
        <f t="shared" si="1"/>
        <v>240000</v>
      </c>
    </row>
    <row r="8">
      <c r="A8" s="16" t="s">
        <v>6</v>
      </c>
      <c r="B8" s="8"/>
      <c r="C8" s="17">
        <v>0.0</v>
      </c>
      <c r="D8" s="17">
        <v>0.0</v>
      </c>
      <c r="E8" s="17">
        <v>0.0</v>
      </c>
      <c r="F8" s="17">
        <v>0.0</v>
      </c>
      <c r="G8" s="17">
        <f>634455+327613</f>
        <v>962068</v>
      </c>
      <c r="H8" s="17">
        <v>0.0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7">
        <f>594513+136690</f>
        <v>731203</v>
      </c>
      <c r="O8" s="17">
        <v>0.0</v>
      </c>
      <c r="P8" s="17">
        <v>0.0</v>
      </c>
      <c r="Q8" s="17">
        <v>0.0</v>
      </c>
      <c r="R8" s="17">
        <v>0.0</v>
      </c>
      <c r="S8" s="17">
        <v>0.0</v>
      </c>
      <c r="T8" s="17">
        <v>0.0</v>
      </c>
      <c r="U8" s="17">
        <f>448704+266440</f>
        <v>715144</v>
      </c>
      <c r="V8" s="17">
        <v>0.0</v>
      </c>
      <c r="W8" s="17">
        <v>0.0</v>
      </c>
      <c r="X8" s="17">
        <v>0.0</v>
      </c>
      <c r="Y8" s="17">
        <v>0.0</v>
      </c>
      <c r="Z8" s="17">
        <v>0.0</v>
      </c>
      <c r="AA8" s="17">
        <v>0.0</v>
      </c>
      <c r="AB8" s="17">
        <f>278893+262915</f>
        <v>541808</v>
      </c>
      <c r="AC8" s="17">
        <v>0.0</v>
      </c>
      <c r="AD8" s="17">
        <v>0.0</v>
      </c>
      <c r="AE8" s="17">
        <v>0.0</v>
      </c>
      <c r="AF8" s="17">
        <v>0.0</v>
      </c>
      <c r="AG8" s="17">
        <v>0.0</v>
      </c>
      <c r="AH8" s="19">
        <f t="shared" si="1"/>
        <v>2950223</v>
      </c>
    </row>
    <row r="9">
      <c r="A9" s="21" t="s">
        <v>7</v>
      </c>
      <c r="B9" s="8"/>
      <c r="C9" s="22">
        <f t="shared" ref="C9:AH9" si="2">SUM(C5:C8)</f>
        <v>1611774</v>
      </c>
      <c r="D9" s="22">
        <f t="shared" si="2"/>
        <v>1723145</v>
      </c>
      <c r="E9" s="22">
        <f t="shared" si="2"/>
        <v>2467369</v>
      </c>
      <c r="F9" s="22">
        <f t="shared" si="2"/>
        <v>1184569</v>
      </c>
      <c r="G9" s="22">
        <f t="shared" si="2"/>
        <v>1168281</v>
      </c>
      <c r="H9" s="22">
        <f t="shared" si="2"/>
        <v>821391</v>
      </c>
      <c r="I9" s="22">
        <f t="shared" si="2"/>
        <v>1162497</v>
      </c>
      <c r="J9" s="22">
        <f t="shared" si="2"/>
        <v>985597</v>
      </c>
      <c r="K9" s="22">
        <f t="shared" si="2"/>
        <v>1284549</v>
      </c>
      <c r="L9" s="22">
        <f t="shared" si="2"/>
        <v>2532322</v>
      </c>
      <c r="M9" s="22">
        <f t="shared" si="2"/>
        <v>1928053</v>
      </c>
      <c r="N9" s="22">
        <f t="shared" si="2"/>
        <v>1125207</v>
      </c>
      <c r="O9" s="22">
        <f t="shared" si="2"/>
        <v>1041112</v>
      </c>
      <c r="P9" s="22">
        <f t="shared" si="2"/>
        <v>863071</v>
      </c>
      <c r="Q9" s="22">
        <f t="shared" si="2"/>
        <v>1730212</v>
      </c>
      <c r="R9" s="22">
        <f t="shared" si="2"/>
        <v>1777231</v>
      </c>
      <c r="S9" s="22">
        <f t="shared" si="2"/>
        <v>2346070</v>
      </c>
      <c r="T9" s="22">
        <f t="shared" si="2"/>
        <v>982780</v>
      </c>
      <c r="U9" s="22">
        <f t="shared" si="2"/>
        <v>1219365</v>
      </c>
      <c r="V9" s="22">
        <f t="shared" si="2"/>
        <v>1100888</v>
      </c>
      <c r="W9" s="22">
        <f t="shared" si="2"/>
        <v>693989</v>
      </c>
      <c r="X9" s="22">
        <f t="shared" si="2"/>
        <v>1374619</v>
      </c>
      <c r="Y9" s="22">
        <f t="shared" si="2"/>
        <v>1743574</v>
      </c>
      <c r="Z9" s="22">
        <f t="shared" si="2"/>
        <v>1056273</v>
      </c>
      <c r="AA9" s="22">
        <f t="shared" si="2"/>
        <v>844834</v>
      </c>
      <c r="AB9" s="22">
        <f t="shared" si="2"/>
        <v>907766</v>
      </c>
      <c r="AC9" s="22">
        <f t="shared" si="2"/>
        <v>972280</v>
      </c>
      <c r="AD9" s="22">
        <f t="shared" si="2"/>
        <v>1088524</v>
      </c>
      <c r="AE9" s="22">
        <f t="shared" si="2"/>
        <v>1233112</v>
      </c>
      <c r="AF9" s="22">
        <f t="shared" si="2"/>
        <v>1793220</v>
      </c>
      <c r="AG9" s="22">
        <f t="shared" si="2"/>
        <v>2392237</v>
      </c>
      <c r="AH9" s="19">
        <f t="shared" si="2"/>
        <v>43155911</v>
      </c>
    </row>
    <row r="10">
      <c r="A10" s="21" t="s">
        <v>8</v>
      </c>
      <c r="B10" s="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9">
        <f>AH9-AH84</f>
        <v>38637974</v>
      </c>
    </row>
    <row r="11">
      <c r="A11" s="7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7"/>
      <c r="AC11" s="10"/>
      <c r="AD11" s="10"/>
      <c r="AE11" s="10"/>
      <c r="AF11" s="10"/>
      <c r="AG11" s="7"/>
      <c r="AH11" s="10"/>
    </row>
    <row r="12">
      <c r="A12" s="23" t="s">
        <v>9</v>
      </c>
      <c r="B12" s="24">
        <f t="shared" ref="B12:B32" si="4">AH12/$AH$10</f>
        <v>0.3020025584</v>
      </c>
      <c r="C12" s="25">
        <f t="shared" ref="C12:AH12" si="3">sum(C13:C32)</f>
        <v>97600</v>
      </c>
      <c r="D12" s="25">
        <f t="shared" si="3"/>
        <v>0</v>
      </c>
      <c r="E12" s="25">
        <f t="shared" si="3"/>
        <v>442903</v>
      </c>
      <c r="F12" s="25">
        <f t="shared" si="3"/>
        <v>88956</v>
      </c>
      <c r="G12" s="25">
        <f t="shared" si="3"/>
        <v>1866415</v>
      </c>
      <c r="H12" s="25">
        <f t="shared" si="3"/>
        <v>413080</v>
      </c>
      <c r="I12" s="25">
        <f t="shared" si="3"/>
        <v>532515</v>
      </c>
      <c r="J12" s="25">
        <f t="shared" si="3"/>
        <v>99400</v>
      </c>
      <c r="K12" s="25">
        <f t="shared" si="3"/>
        <v>273280</v>
      </c>
      <c r="L12" s="25">
        <f t="shared" si="3"/>
        <v>53780</v>
      </c>
      <c r="M12" s="25">
        <f t="shared" si="3"/>
        <v>950160</v>
      </c>
      <c r="N12" s="25">
        <f t="shared" si="3"/>
        <v>839678</v>
      </c>
      <c r="O12" s="25">
        <f t="shared" si="3"/>
        <v>432920</v>
      </c>
      <c r="P12" s="25">
        <f t="shared" si="3"/>
        <v>754672</v>
      </c>
      <c r="Q12" s="25">
        <f t="shared" si="3"/>
        <v>130000</v>
      </c>
      <c r="R12" s="25">
        <f t="shared" si="3"/>
        <v>0</v>
      </c>
      <c r="S12" s="25">
        <f t="shared" si="3"/>
        <v>21530</v>
      </c>
      <c r="T12" s="25">
        <f t="shared" si="3"/>
        <v>386702</v>
      </c>
      <c r="U12" s="25">
        <f t="shared" si="3"/>
        <v>1273662</v>
      </c>
      <c r="V12" s="25">
        <f t="shared" si="3"/>
        <v>503718</v>
      </c>
      <c r="W12" s="25">
        <f t="shared" si="3"/>
        <v>0</v>
      </c>
      <c r="X12" s="25">
        <f t="shared" si="3"/>
        <v>337970</v>
      </c>
      <c r="Y12" s="25">
        <f t="shared" si="3"/>
        <v>0</v>
      </c>
      <c r="Z12" s="25">
        <f t="shared" si="3"/>
        <v>0</v>
      </c>
      <c r="AA12" s="25">
        <f t="shared" si="3"/>
        <v>0</v>
      </c>
      <c r="AB12" s="25">
        <f t="shared" si="3"/>
        <v>1109814</v>
      </c>
      <c r="AC12" s="25">
        <f t="shared" si="3"/>
        <v>342860</v>
      </c>
      <c r="AD12" s="25">
        <f t="shared" si="3"/>
        <v>626152</v>
      </c>
      <c r="AE12" s="25">
        <f t="shared" si="3"/>
        <v>0</v>
      </c>
      <c r="AF12" s="25">
        <f t="shared" si="3"/>
        <v>91000</v>
      </c>
      <c r="AG12" s="25">
        <f t="shared" si="3"/>
        <v>0</v>
      </c>
      <c r="AH12" s="26">
        <f t="shared" si="3"/>
        <v>11668767</v>
      </c>
    </row>
    <row r="13">
      <c r="A13" s="16" t="s">
        <v>10</v>
      </c>
      <c r="B13" s="27">
        <f t="shared" si="4"/>
        <v>0.01762318076</v>
      </c>
      <c r="C13" s="17">
        <v>13400.0</v>
      </c>
      <c r="D13" s="17">
        <v>0.0</v>
      </c>
      <c r="E13" s="17">
        <v>0.0</v>
      </c>
      <c r="F13" s="17">
        <v>0.0</v>
      </c>
      <c r="G13" s="17">
        <f>23880</f>
        <v>23880</v>
      </c>
      <c r="H13" s="17">
        <f>94000</f>
        <v>94000</v>
      </c>
      <c r="I13" s="17">
        <v>22665.0</v>
      </c>
      <c r="J13" s="17">
        <v>89600.0</v>
      </c>
      <c r="K13" s="17">
        <f>59600</f>
        <v>59600</v>
      </c>
      <c r="L13" s="17">
        <v>32700.0</v>
      </c>
      <c r="M13" s="17">
        <f>98019</f>
        <v>98019</v>
      </c>
      <c r="N13" s="17">
        <v>0.0</v>
      </c>
      <c r="O13" s="17">
        <v>0.0</v>
      </c>
      <c r="P13" s="17">
        <v>0.0</v>
      </c>
      <c r="Q13" s="17">
        <v>48300.0</v>
      </c>
      <c r="R13" s="17">
        <v>0.0</v>
      </c>
      <c r="S13" s="17">
        <v>5910.0</v>
      </c>
      <c r="T13" s="17">
        <v>0.0</v>
      </c>
      <c r="U13" s="17">
        <v>23600.0</v>
      </c>
      <c r="V13" s="17">
        <v>0.0</v>
      </c>
      <c r="W13" s="17">
        <v>0.0</v>
      </c>
      <c r="X13" s="17">
        <v>77550.0</v>
      </c>
      <c r="Y13" s="17">
        <v>0.0</v>
      </c>
      <c r="Z13" s="17">
        <v>0.0</v>
      </c>
      <c r="AA13" s="17">
        <v>0.0</v>
      </c>
      <c r="AB13" s="17">
        <v>0.0</v>
      </c>
      <c r="AC13" s="17">
        <f>49400+13800</f>
        <v>63200</v>
      </c>
      <c r="AD13" s="17">
        <v>28500.0</v>
      </c>
      <c r="AE13" s="17">
        <v>0.0</v>
      </c>
      <c r="AF13" s="17">
        <v>0.0</v>
      </c>
      <c r="AG13" s="17">
        <v>0.0</v>
      </c>
      <c r="AH13" s="19">
        <f t="shared" ref="AH13:AH32" si="5">SUM(C13:AG13)</f>
        <v>680924</v>
      </c>
    </row>
    <row r="14">
      <c r="A14" s="28" t="s">
        <v>12</v>
      </c>
      <c r="B14" s="27">
        <f t="shared" si="4"/>
        <v>0.009255143657</v>
      </c>
      <c r="C14" s="17">
        <v>0.0</v>
      </c>
      <c r="D14" s="17">
        <v>0.0</v>
      </c>
      <c r="E14" s="17">
        <v>0.0</v>
      </c>
      <c r="F14" s="17">
        <v>0.0</v>
      </c>
      <c r="G14" s="17">
        <v>119200.0</v>
      </c>
      <c r="H14" s="17">
        <v>0.0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7">
        <v>119200.0</v>
      </c>
      <c r="O14" s="17">
        <v>0.0</v>
      </c>
      <c r="P14" s="17">
        <v>0.0</v>
      </c>
      <c r="Q14" s="17">
        <v>0.0</v>
      </c>
      <c r="R14" s="17">
        <v>0.0</v>
      </c>
      <c r="S14" s="17">
        <v>0.0</v>
      </c>
      <c r="T14" s="17">
        <v>0.0</v>
      </c>
      <c r="U14" s="17">
        <v>0.0</v>
      </c>
      <c r="V14" s="17">
        <v>119200.0</v>
      </c>
      <c r="W14" s="17">
        <v>0.0</v>
      </c>
      <c r="X14" s="17">
        <v>0.0</v>
      </c>
      <c r="Y14" s="17">
        <v>0.0</v>
      </c>
      <c r="Z14" s="17">
        <v>0.0</v>
      </c>
      <c r="AA14" s="17">
        <v>0.0</v>
      </c>
      <c r="AB14" s="17">
        <v>0.0</v>
      </c>
      <c r="AC14" s="17">
        <v>0.0</v>
      </c>
      <c r="AD14" s="17">
        <v>0.0</v>
      </c>
      <c r="AE14" s="17">
        <v>0.0</v>
      </c>
      <c r="AF14" s="17">
        <v>0.0</v>
      </c>
      <c r="AG14" s="17">
        <v>0.0</v>
      </c>
      <c r="AH14" s="19">
        <f t="shared" si="5"/>
        <v>357600</v>
      </c>
    </row>
    <row r="15">
      <c r="A15" s="16" t="s">
        <v>13</v>
      </c>
      <c r="B15" s="27">
        <f t="shared" si="4"/>
        <v>0.05753785123</v>
      </c>
      <c r="C15" s="17">
        <v>0.0</v>
      </c>
      <c r="D15" s="17">
        <v>0.0</v>
      </c>
      <c r="E15" s="17">
        <v>0.0</v>
      </c>
      <c r="F15" s="17">
        <v>0.0</v>
      </c>
      <c r="G15" s="17">
        <v>322028.0</v>
      </c>
      <c r="H15" s="17">
        <v>0.0</v>
      </c>
      <c r="I15" s="17">
        <v>0.0</v>
      </c>
      <c r="J15" s="17">
        <v>0.0</v>
      </c>
      <c r="K15" s="17">
        <v>0.0</v>
      </c>
      <c r="L15" s="17">
        <v>0.0</v>
      </c>
      <c r="M15" s="17">
        <v>357549.0</v>
      </c>
      <c r="N15" s="17">
        <v>0.0</v>
      </c>
      <c r="O15" s="17">
        <v>0.0</v>
      </c>
      <c r="P15" s="17">
        <v>576424.0</v>
      </c>
      <c r="Q15" s="17">
        <v>0.0</v>
      </c>
      <c r="R15" s="17">
        <v>0.0</v>
      </c>
      <c r="S15" s="17">
        <v>0.0</v>
      </c>
      <c r="T15" s="17">
        <v>0.0</v>
      </c>
      <c r="U15" s="17">
        <v>396419.0</v>
      </c>
      <c r="V15" s="17">
        <v>0.0</v>
      </c>
      <c r="W15" s="17">
        <v>0.0</v>
      </c>
      <c r="X15" s="17">
        <v>0.0</v>
      </c>
      <c r="Y15" s="17">
        <v>0.0</v>
      </c>
      <c r="Z15" s="17">
        <v>0.0</v>
      </c>
      <c r="AA15" s="17">
        <v>0.0</v>
      </c>
      <c r="AB15" s="17">
        <v>570726.0</v>
      </c>
      <c r="AC15" s="17">
        <v>0.0</v>
      </c>
      <c r="AD15" s="17">
        <v>0.0</v>
      </c>
      <c r="AE15" s="17">
        <v>0.0</v>
      </c>
      <c r="AF15" s="17">
        <v>0.0</v>
      </c>
      <c r="AG15" s="17">
        <v>0.0</v>
      </c>
      <c r="AH15" s="19">
        <f t="shared" si="5"/>
        <v>2223146</v>
      </c>
    </row>
    <row r="16">
      <c r="A16" s="28" t="s">
        <v>14</v>
      </c>
      <c r="B16" s="27">
        <f t="shared" si="4"/>
        <v>0.003985612703</v>
      </c>
      <c r="C16" s="17">
        <v>0.0</v>
      </c>
      <c r="D16" s="17">
        <v>0.0</v>
      </c>
      <c r="E16" s="17">
        <v>0.0</v>
      </c>
      <c r="F16" s="17">
        <v>0.0</v>
      </c>
      <c r="G16" s="17">
        <v>0.0</v>
      </c>
      <c r="H16" s="17">
        <v>0.0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7">
        <v>0.0</v>
      </c>
      <c r="P16" s="17">
        <v>0.0</v>
      </c>
      <c r="Q16" s="17">
        <v>0.0</v>
      </c>
      <c r="R16" s="17">
        <v>0.0</v>
      </c>
      <c r="S16" s="17">
        <v>0.0</v>
      </c>
      <c r="T16" s="17">
        <v>0.0</v>
      </c>
      <c r="U16" s="17">
        <v>0.0</v>
      </c>
      <c r="V16" s="17">
        <v>0.0</v>
      </c>
      <c r="W16" s="17">
        <v>0.0</v>
      </c>
      <c r="X16" s="17">
        <v>0.0</v>
      </c>
      <c r="Y16" s="17">
        <v>0.0</v>
      </c>
      <c r="Z16" s="17">
        <v>0.0</v>
      </c>
      <c r="AA16" s="17">
        <v>0.0</v>
      </c>
      <c r="AB16" s="17">
        <v>0.0</v>
      </c>
      <c r="AC16" s="17">
        <v>153996.0</v>
      </c>
      <c r="AD16" s="17">
        <v>0.0</v>
      </c>
      <c r="AE16" s="17">
        <v>0.0</v>
      </c>
      <c r="AF16" s="17">
        <v>0.0</v>
      </c>
      <c r="AG16" s="17">
        <v>0.0</v>
      </c>
      <c r="AH16" s="19">
        <f t="shared" si="5"/>
        <v>153996</v>
      </c>
    </row>
    <row r="17">
      <c r="A17" s="28" t="s">
        <v>15</v>
      </c>
      <c r="B17" s="27">
        <f t="shared" si="4"/>
        <v>0.04678689933</v>
      </c>
      <c r="C17" s="17">
        <v>0.0</v>
      </c>
      <c r="D17" s="17">
        <v>0.0</v>
      </c>
      <c r="E17" s="17">
        <v>397103.0</v>
      </c>
      <c r="F17" s="17">
        <v>0.0</v>
      </c>
      <c r="G17" s="17">
        <v>0.0</v>
      </c>
      <c r="H17" s="17">
        <v>0.0</v>
      </c>
      <c r="I17" s="17">
        <v>503370.0</v>
      </c>
      <c r="J17" s="17">
        <v>0.0</v>
      </c>
      <c r="K17" s="17">
        <v>0.0</v>
      </c>
      <c r="L17" s="17">
        <v>0.0</v>
      </c>
      <c r="M17" s="17">
        <v>0.0</v>
      </c>
      <c r="N17" s="17">
        <v>250000.0</v>
      </c>
      <c r="O17" s="17">
        <v>0.0</v>
      </c>
      <c r="P17" s="17">
        <v>0.0</v>
      </c>
      <c r="Q17" s="17">
        <v>0.0</v>
      </c>
      <c r="R17" s="17">
        <v>0.0</v>
      </c>
      <c r="S17" s="17">
        <v>0.0</v>
      </c>
      <c r="T17" s="17">
        <v>257278.0</v>
      </c>
      <c r="U17" s="17">
        <v>0.0</v>
      </c>
      <c r="V17" s="17">
        <v>200000.0</v>
      </c>
      <c r="W17" s="17">
        <v>0.0</v>
      </c>
      <c r="X17" s="17">
        <v>0.0</v>
      </c>
      <c r="Y17" s="17">
        <v>0.0</v>
      </c>
      <c r="Z17" s="17">
        <v>0.0</v>
      </c>
      <c r="AA17" s="17">
        <v>0.0</v>
      </c>
      <c r="AB17" s="17">
        <v>0.0</v>
      </c>
      <c r="AC17" s="17">
        <v>0.0</v>
      </c>
      <c r="AD17" s="17">
        <v>200000.0</v>
      </c>
      <c r="AE17" s="17">
        <v>0.0</v>
      </c>
      <c r="AF17" s="17">
        <v>0.0</v>
      </c>
      <c r="AG17" s="17">
        <v>0.0</v>
      </c>
      <c r="AH17" s="19">
        <f t="shared" si="5"/>
        <v>1807751</v>
      </c>
    </row>
    <row r="18">
      <c r="A18" s="29" t="s">
        <v>16</v>
      </c>
      <c r="B18" s="27">
        <f t="shared" si="4"/>
        <v>0.01994216881</v>
      </c>
      <c r="C18" s="17">
        <v>0.0</v>
      </c>
      <c r="D18" s="17">
        <v>0.0</v>
      </c>
      <c r="E18" s="17">
        <v>0.0</v>
      </c>
      <c r="F18" s="17">
        <v>0.0</v>
      </c>
      <c r="G18" s="17">
        <v>321300.0</v>
      </c>
      <c r="H18" s="17">
        <v>0.0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17">
        <v>0.0</v>
      </c>
      <c r="T18" s="17">
        <v>0.0</v>
      </c>
      <c r="U18" s="17">
        <v>187425.0</v>
      </c>
      <c r="V18" s="17">
        <v>0.0</v>
      </c>
      <c r="W18" s="17">
        <v>0.0</v>
      </c>
      <c r="X18" s="17">
        <v>0.0</v>
      </c>
      <c r="Y18" s="17">
        <v>0.0</v>
      </c>
      <c r="Z18" s="17">
        <v>0.0</v>
      </c>
      <c r="AA18" s="17">
        <v>0.0</v>
      </c>
      <c r="AB18" s="17">
        <v>0.0</v>
      </c>
      <c r="AC18" s="17">
        <v>0.0</v>
      </c>
      <c r="AD18" s="17">
        <v>261800.0</v>
      </c>
      <c r="AE18" s="17">
        <v>0.0</v>
      </c>
      <c r="AF18" s="17">
        <v>0.0</v>
      </c>
      <c r="AG18" s="17">
        <v>0.0</v>
      </c>
      <c r="AH18" s="19">
        <f t="shared" si="5"/>
        <v>770525</v>
      </c>
    </row>
    <row r="19">
      <c r="A19" s="29" t="s">
        <v>17</v>
      </c>
      <c r="B19" s="27">
        <f t="shared" si="4"/>
        <v>0.04953587887</v>
      </c>
      <c r="C19" s="17">
        <v>0.0</v>
      </c>
      <c r="D19" s="17">
        <v>0.0</v>
      </c>
      <c r="E19" s="17">
        <v>0.0</v>
      </c>
      <c r="F19" s="17">
        <v>0.0</v>
      </c>
      <c r="G19" s="17">
        <v>523200.0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432920.0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551300.0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406546.0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</v>
      </c>
      <c r="AH19" s="19">
        <f t="shared" si="5"/>
        <v>1913966</v>
      </c>
    </row>
    <row r="20">
      <c r="A20" s="28" t="s">
        <v>102</v>
      </c>
      <c r="B20" s="27">
        <f t="shared" si="4"/>
        <v>0.0130441622</v>
      </c>
      <c r="C20" s="17">
        <v>0.0</v>
      </c>
      <c r="D20" s="17">
        <v>0.0</v>
      </c>
      <c r="E20" s="17">
        <v>0.0</v>
      </c>
      <c r="F20" s="17">
        <v>0.0</v>
      </c>
      <c r="G20" s="17">
        <v>0.0</v>
      </c>
      <c r="H20" s="17">
        <v>84000.0</v>
      </c>
      <c r="I20" s="17">
        <v>0.0</v>
      </c>
      <c r="J20" s="17">
        <v>0.0</v>
      </c>
      <c r="K20" s="17">
        <v>0.0</v>
      </c>
      <c r="L20" s="17">
        <v>0.0</v>
      </c>
      <c r="M20" s="17">
        <v>84000.0</v>
      </c>
      <c r="N20" s="17">
        <v>0.0</v>
      </c>
      <c r="O20" s="17">
        <v>0.0</v>
      </c>
      <c r="P20" s="17">
        <v>84000.0</v>
      </c>
      <c r="Q20" s="17">
        <v>0.0</v>
      </c>
      <c r="R20" s="17">
        <v>0.0</v>
      </c>
      <c r="S20" s="17">
        <v>0.0</v>
      </c>
      <c r="T20" s="17">
        <v>0.0</v>
      </c>
      <c r="U20" s="17">
        <v>0.0</v>
      </c>
      <c r="V20" s="17">
        <v>84000.0</v>
      </c>
      <c r="W20" s="17">
        <v>0.0</v>
      </c>
      <c r="X20" s="17">
        <v>0.0</v>
      </c>
      <c r="Y20" s="17">
        <v>0.0</v>
      </c>
      <c r="Z20" s="17">
        <v>0.0</v>
      </c>
      <c r="AA20" s="17">
        <v>0.0</v>
      </c>
      <c r="AB20" s="17">
        <v>84000.0</v>
      </c>
      <c r="AC20" s="17">
        <v>0.0</v>
      </c>
      <c r="AD20" s="17">
        <v>84000.0</v>
      </c>
      <c r="AE20" s="17">
        <v>0.0</v>
      </c>
      <c r="AF20" s="17">
        <v>0.0</v>
      </c>
      <c r="AG20" s="17">
        <v>0.0</v>
      </c>
      <c r="AH20" s="19">
        <f t="shared" si="5"/>
        <v>504000</v>
      </c>
    </row>
    <row r="21">
      <c r="A21" s="28" t="s">
        <v>18</v>
      </c>
      <c r="B21" s="27">
        <f t="shared" si="4"/>
        <v>0.002818082542</v>
      </c>
      <c r="C21" s="17">
        <v>0.0</v>
      </c>
      <c r="D21" s="17">
        <v>0.0</v>
      </c>
      <c r="E21" s="17">
        <v>0.0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108885.0</v>
      </c>
      <c r="N21" s="17">
        <v>0.0</v>
      </c>
      <c r="O21" s="17">
        <v>0.0</v>
      </c>
      <c r="P21" s="17">
        <v>0.0</v>
      </c>
      <c r="Q21" s="17">
        <v>0.0</v>
      </c>
      <c r="R21" s="17">
        <v>0.0</v>
      </c>
      <c r="S21" s="17">
        <v>0.0</v>
      </c>
      <c r="T21" s="17">
        <v>0.0</v>
      </c>
      <c r="U21" s="17">
        <v>0.0</v>
      </c>
      <c r="V21" s="17">
        <v>0.0</v>
      </c>
      <c r="W21" s="17">
        <v>0.0</v>
      </c>
      <c r="X21" s="17">
        <v>0.0</v>
      </c>
      <c r="Y21" s="17">
        <v>0.0</v>
      </c>
      <c r="Z21" s="17">
        <v>0.0</v>
      </c>
      <c r="AA21" s="17">
        <v>0.0</v>
      </c>
      <c r="AB21" s="17">
        <v>0.0</v>
      </c>
      <c r="AC21" s="17">
        <v>0.0</v>
      </c>
      <c r="AD21" s="17">
        <v>0.0</v>
      </c>
      <c r="AE21" s="17">
        <v>0.0</v>
      </c>
      <c r="AF21" s="17">
        <v>0.0</v>
      </c>
      <c r="AG21" s="17">
        <v>0.0</v>
      </c>
      <c r="AH21" s="19">
        <f t="shared" si="5"/>
        <v>108885</v>
      </c>
    </row>
    <row r="22">
      <c r="A22" s="16" t="s">
        <v>20</v>
      </c>
      <c r="B22" s="27">
        <f t="shared" si="4"/>
        <v>0.007484088063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289170.0</v>
      </c>
      <c r="O22" s="17">
        <v>0.0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U22" s="17">
        <v>0.0</v>
      </c>
      <c r="V22" s="17">
        <v>0.0</v>
      </c>
      <c r="W22" s="17">
        <v>0.0</v>
      </c>
      <c r="X22" s="17">
        <v>0.0</v>
      </c>
      <c r="Y22" s="17">
        <v>0.0</v>
      </c>
      <c r="Z22" s="17">
        <v>0.0</v>
      </c>
      <c r="AA22" s="17">
        <v>0.0</v>
      </c>
      <c r="AB22" s="17">
        <v>0.0</v>
      </c>
      <c r="AC22" s="17">
        <v>0.0</v>
      </c>
      <c r="AD22" s="17">
        <v>0.0</v>
      </c>
      <c r="AE22" s="17">
        <v>0.0</v>
      </c>
      <c r="AF22" s="17">
        <v>0.0</v>
      </c>
      <c r="AG22" s="17">
        <v>0.0</v>
      </c>
      <c r="AH22" s="19">
        <f t="shared" si="5"/>
        <v>289170</v>
      </c>
    </row>
    <row r="23">
      <c r="A23" s="16" t="s">
        <v>22</v>
      </c>
      <c r="B23" s="27">
        <f t="shared" si="4"/>
        <v>0</v>
      </c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7">
        <v>0.0</v>
      </c>
      <c r="O23" s="17">
        <v>0.0</v>
      </c>
      <c r="P23" s="17">
        <v>0.0</v>
      </c>
      <c r="Q23" s="17">
        <v>0.0</v>
      </c>
      <c r="R23" s="17">
        <v>0.0</v>
      </c>
      <c r="S23" s="17">
        <v>0.0</v>
      </c>
      <c r="T23" s="17">
        <v>0.0</v>
      </c>
      <c r="U23" s="17">
        <v>0.0</v>
      </c>
      <c r="V23" s="17">
        <v>0.0</v>
      </c>
      <c r="W23" s="17">
        <v>0.0</v>
      </c>
      <c r="X23" s="17">
        <v>0.0</v>
      </c>
      <c r="Y23" s="17">
        <v>0.0</v>
      </c>
      <c r="Z23" s="17">
        <v>0.0</v>
      </c>
      <c r="AA23" s="17">
        <v>0.0</v>
      </c>
      <c r="AB23" s="17">
        <v>0.0</v>
      </c>
      <c r="AC23" s="17">
        <v>0.0</v>
      </c>
      <c r="AD23" s="17">
        <v>0.0</v>
      </c>
      <c r="AE23" s="17">
        <v>0.0</v>
      </c>
      <c r="AF23" s="17">
        <v>0.0</v>
      </c>
      <c r="AG23" s="17">
        <v>0.0</v>
      </c>
      <c r="AH23" s="19">
        <f t="shared" si="5"/>
        <v>0</v>
      </c>
    </row>
    <row r="24">
      <c r="A24" s="16" t="s">
        <v>23</v>
      </c>
      <c r="B24" s="27">
        <f t="shared" si="4"/>
        <v>0.003349658033</v>
      </c>
      <c r="C24" s="17">
        <v>0.0</v>
      </c>
      <c r="D24" s="17">
        <v>0.0</v>
      </c>
      <c r="E24" s="17">
        <v>0.0</v>
      </c>
      <c r="F24" s="17">
        <v>0.0</v>
      </c>
      <c r="G24" s="17">
        <v>0.0</v>
      </c>
      <c r="H24" s="17">
        <v>0.0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  <c r="R24" s="17">
        <v>0.0</v>
      </c>
      <c r="S24" s="17">
        <v>0.0</v>
      </c>
      <c r="T24" s="17">
        <v>129424.0</v>
      </c>
      <c r="U24" s="17">
        <v>0.0</v>
      </c>
      <c r="V24" s="17">
        <v>0.0</v>
      </c>
      <c r="W24" s="17">
        <v>0.0</v>
      </c>
      <c r="X24" s="17">
        <v>0.0</v>
      </c>
      <c r="Y24" s="17">
        <v>0.0</v>
      </c>
      <c r="Z24" s="17">
        <v>0.0</v>
      </c>
      <c r="AA24" s="17">
        <v>0.0</v>
      </c>
      <c r="AB24" s="17">
        <v>0.0</v>
      </c>
      <c r="AC24" s="17">
        <v>0.0</v>
      </c>
      <c r="AD24" s="17">
        <v>0.0</v>
      </c>
      <c r="AE24" s="17">
        <v>0.0</v>
      </c>
      <c r="AF24" s="17">
        <v>0.0</v>
      </c>
      <c r="AG24" s="17">
        <v>0.0</v>
      </c>
      <c r="AH24" s="19">
        <f t="shared" si="5"/>
        <v>129424</v>
      </c>
    </row>
    <row r="25">
      <c r="A25" s="16" t="s">
        <v>24</v>
      </c>
      <c r="B25" s="27">
        <f t="shared" si="4"/>
        <v>0.005814383539</v>
      </c>
      <c r="C25" s="17">
        <v>0.0</v>
      </c>
      <c r="D25" s="17">
        <v>0.0</v>
      </c>
      <c r="E25" s="17">
        <v>10000.0</v>
      </c>
      <c r="F25" s="17">
        <v>0.0</v>
      </c>
      <c r="G25" s="17">
        <v>0.0</v>
      </c>
      <c r="H25" s="17">
        <v>0.0</v>
      </c>
      <c r="I25" s="17">
        <v>0.0</v>
      </c>
      <c r="J25" s="17">
        <v>0.0</v>
      </c>
      <c r="K25" s="17">
        <f>46410+84264</f>
        <v>130674</v>
      </c>
      <c r="L25" s="17">
        <v>0.0</v>
      </c>
      <c r="M25" s="17">
        <v>32130.0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  <c r="S25" s="17">
        <v>0.0</v>
      </c>
      <c r="T25" s="17">
        <v>0.0</v>
      </c>
      <c r="U25" s="17">
        <v>0.0</v>
      </c>
      <c r="V25" s="17">
        <v>0.0</v>
      </c>
      <c r="W25" s="17">
        <v>0.0</v>
      </c>
      <c r="X25" s="17">
        <v>0.0</v>
      </c>
      <c r="Y25" s="17">
        <v>0.0</v>
      </c>
      <c r="Z25" s="17">
        <v>0.0</v>
      </c>
      <c r="AA25" s="17">
        <v>0.0</v>
      </c>
      <c r="AB25" s="17">
        <v>0.0</v>
      </c>
      <c r="AC25" s="17">
        <v>0.0</v>
      </c>
      <c r="AD25" s="17">
        <v>51852.0</v>
      </c>
      <c r="AE25" s="17">
        <v>0.0</v>
      </c>
      <c r="AF25" s="17">
        <v>0.0</v>
      </c>
      <c r="AG25" s="17">
        <v>0.0</v>
      </c>
      <c r="AH25" s="19">
        <f t="shared" si="5"/>
        <v>224656</v>
      </c>
    </row>
    <row r="26">
      <c r="A26" s="16" t="s">
        <v>25</v>
      </c>
      <c r="B26" s="27">
        <f t="shared" si="4"/>
        <v>0.01382246388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7">
        <v>157080.0</v>
      </c>
      <c r="I26" s="17">
        <v>0.0</v>
      </c>
      <c r="J26" s="17">
        <v>0.0</v>
      </c>
      <c r="K26" s="17">
        <v>0.0</v>
      </c>
      <c r="L26" s="17">
        <v>0.0</v>
      </c>
      <c r="M26" s="17">
        <v>157080.0</v>
      </c>
      <c r="N26" s="17">
        <v>0.0</v>
      </c>
      <c r="O26" s="17">
        <v>0.0</v>
      </c>
      <c r="P26" s="17">
        <v>94248.0</v>
      </c>
      <c r="Q26" s="17">
        <v>0.0</v>
      </c>
      <c r="R26" s="17">
        <v>0.0</v>
      </c>
      <c r="S26" s="17">
        <v>0.0</v>
      </c>
      <c r="T26" s="17">
        <v>0.0</v>
      </c>
      <c r="U26" s="17">
        <v>0.0</v>
      </c>
      <c r="V26" s="17">
        <v>0.0</v>
      </c>
      <c r="W26" s="17">
        <v>0.0</v>
      </c>
      <c r="X26" s="17">
        <v>0.0</v>
      </c>
      <c r="Y26" s="17">
        <v>0.0</v>
      </c>
      <c r="Z26" s="17">
        <v>0.0</v>
      </c>
      <c r="AA26" s="17">
        <v>0.0</v>
      </c>
      <c r="AB26" s="17">
        <v>0.0</v>
      </c>
      <c r="AC26" s="17">
        <v>125664.0</v>
      </c>
      <c r="AD26" s="17">
        <v>0.0</v>
      </c>
      <c r="AE26" s="17">
        <v>0.0</v>
      </c>
      <c r="AF26" s="17">
        <v>0.0</v>
      </c>
      <c r="AG26" s="17">
        <v>0.0</v>
      </c>
      <c r="AH26" s="19">
        <f t="shared" si="5"/>
        <v>534072</v>
      </c>
    </row>
    <row r="27">
      <c r="A27" s="16" t="s">
        <v>26</v>
      </c>
      <c r="B27" s="27">
        <f t="shared" si="4"/>
        <v>0.005686322994</v>
      </c>
      <c r="C27" s="17">
        <v>0.0</v>
      </c>
      <c r="D27" s="17">
        <v>0.0</v>
      </c>
      <c r="E27" s="17">
        <v>35800.0</v>
      </c>
      <c r="F27" s="17">
        <v>0.0</v>
      </c>
      <c r="G27" s="17">
        <v>0.0</v>
      </c>
      <c r="H27" s="17">
        <v>0.0</v>
      </c>
      <c r="I27" s="17">
        <v>0.0</v>
      </c>
      <c r="J27" s="17">
        <v>0.0</v>
      </c>
      <c r="K27" s="17">
        <v>83006.0</v>
      </c>
      <c r="L27" s="17">
        <v>21080.0</v>
      </c>
      <c r="M27" s="17">
        <v>0.0</v>
      </c>
      <c r="N27" s="17">
        <v>15660.0</v>
      </c>
      <c r="O27" s="17">
        <v>0.0</v>
      </c>
      <c r="P27" s="17">
        <v>0.0</v>
      </c>
      <c r="Q27" s="17">
        <v>0.0</v>
      </c>
      <c r="R27" s="17">
        <v>0.0</v>
      </c>
      <c r="S27" s="17">
        <v>15620.0</v>
      </c>
      <c r="T27" s="17">
        <v>0.0</v>
      </c>
      <c r="U27" s="17">
        <v>0.0</v>
      </c>
      <c r="V27" s="17">
        <v>0.0</v>
      </c>
      <c r="W27" s="17">
        <v>0.0</v>
      </c>
      <c r="X27" s="17">
        <v>0.0</v>
      </c>
      <c r="Y27" s="17">
        <v>0.0</v>
      </c>
      <c r="Z27" s="17">
        <v>0.0</v>
      </c>
      <c r="AA27" s="17">
        <v>0.0</v>
      </c>
      <c r="AB27" s="17">
        <v>48542.0</v>
      </c>
      <c r="AC27" s="17">
        <v>0.0</v>
      </c>
      <c r="AD27" s="17">
        <v>0.0</v>
      </c>
      <c r="AE27" s="17">
        <v>0.0</v>
      </c>
      <c r="AF27" s="17">
        <v>0.0</v>
      </c>
      <c r="AG27" s="17">
        <v>0.0</v>
      </c>
      <c r="AH27" s="19">
        <f t="shared" si="5"/>
        <v>219708</v>
      </c>
    </row>
    <row r="28">
      <c r="A28" s="16" t="s">
        <v>27</v>
      </c>
      <c r="B28" s="27">
        <f t="shared" si="4"/>
        <v>0.01387559814</v>
      </c>
      <c r="C28" s="17">
        <v>0.0</v>
      </c>
      <c r="D28" s="17">
        <v>0.0</v>
      </c>
      <c r="E28" s="17">
        <v>0.0</v>
      </c>
      <c r="F28" s="17">
        <v>0.0</v>
      </c>
      <c r="G28" s="17">
        <v>313589.0</v>
      </c>
      <c r="H28" s="17">
        <v>0.0</v>
      </c>
      <c r="I28" s="17">
        <v>0.0</v>
      </c>
      <c r="J28" s="17">
        <v>9800.0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0.0</v>
      </c>
      <c r="R28" s="17">
        <v>0.0</v>
      </c>
      <c r="S28" s="17">
        <v>0.0</v>
      </c>
      <c r="T28" s="17">
        <v>0.0</v>
      </c>
      <c r="U28" s="17">
        <v>114918.0</v>
      </c>
      <c r="V28" s="17">
        <v>97818.0</v>
      </c>
      <c r="W28" s="17">
        <v>0.0</v>
      </c>
      <c r="X28" s="17">
        <v>0.0</v>
      </c>
      <c r="Y28" s="17">
        <v>0.0</v>
      </c>
      <c r="Z28" s="17">
        <v>0.0</v>
      </c>
      <c r="AA28" s="17">
        <v>0.0</v>
      </c>
      <c r="AB28" s="17">
        <v>0.0</v>
      </c>
      <c r="AC28" s="17">
        <v>0.0</v>
      </c>
      <c r="AD28" s="17">
        <v>0.0</v>
      </c>
      <c r="AE28" s="17">
        <v>0.0</v>
      </c>
      <c r="AF28" s="17">
        <v>0.0</v>
      </c>
      <c r="AG28" s="17">
        <v>0.0</v>
      </c>
      <c r="AH28" s="19">
        <f t="shared" si="5"/>
        <v>536125</v>
      </c>
    </row>
    <row r="29">
      <c r="A29" s="16" t="s">
        <v>28</v>
      </c>
      <c r="B29" s="27">
        <f t="shared" si="4"/>
        <v>0.002911565705</v>
      </c>
      <c r="C29" s="17">
        <v>0.0</v>
      </c>
      <c r="D29" s="17">
        <v>0.0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112497.0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0.0</v>
      </c>
      <c r="AG29" s="17">
        <v>0.0</v>
      </c>
      <c r="AH29" s="19">
        <f t="shared" si="5"/>
        <v>112497</v>
      </c>
    </row>
    <row r="30">
      <c r="A30" s="16" t="s">
        <v>29</v>
      </c>
      <c r="B30" s="27">
        <f t="shared" si="4"/>
        <v>0.00428718131</v>
      </c>
      <c r="C30" s="17">
        <v>0.0</v>
      </c>
      <c r="D30" s="17">
        <v>0.0</v>
      </c>
      <c r="E30" s="17">
        <v>0.0</v>
      </c>
      <c r="F30" s="17">
        <v>0.0</v>
      </c>
      <c r="G30" s="17">
        <v>0.0</v>
      </c>
      <c r="H30" s="17">
        <v>0.0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7">
        <v>165648.0</v>
      </c>
      <c r="O30" s="17">
        <v>0.0</v>
      </c>
      <c r="P30" s="17">
        <v>0.0</v>
      </c>
      <c r="Q30" s="17">
        <v>0.0</v>
      </c>
      <c r="R30" s="17">
        <v>0.0</v>
      </c>
      <c r="S30" s="17">
        <v>0.0</v>
      </c>
      <c r="T30" s="17">
        <v>0.0</v>
      </c>
      <c r="U30" s="17">
        <v>0.0</v>
      </c>
      <c r="V30" s="17">
        <v>0.0</v>
      </c>
      <c r="W30" s="17">
        <v>0.0</v>
      </c>
      <c r="X30" s="17">
        <v>0.0</v>
      </c>
      <c r="Y30" s="17">
        <v>0.0</v>
      </c>
      <c r="Z30" s="17">
        <v>0.0</v>
      </c>
      <c r="AA30" s="17">
        <v>0.0</v>
      </c>
      <c r="AB30" s="17">
        <v>0.0</v>
      </c>
      <c r="AC30" s="17">
        <v>0.0</v>
      </c>
      <c r="AD30" s="17">
        <v>0.0</v>
      </c>
      <c r="AE30" s="17">
        <v>0.0</v>
      </c>
      <c r="AF30" s="17">
        <v>0.0</v>
      </c>
      <c r="AG30" s="17">
        <v>0.0</v>
      </c>
      <c r="AH30" s="19">
        <f t="shared" si="5"/>
        <v>165648</v>
      </c>
    </row>
    <row r="31">
      <c r="A31" s="16" t="s">
        <v>30</v>
      </c>
      <c r="B31" s="27">
        <f t="shared" si="4"/>
        <v>0.0002893526457</v>
      </c>
      <c r="C31" s="17">
        <v>0.0</v>
      </c>
      <c r="D31" s="17">
        <v>0.0</v>
      </c>
      <c r="E31" s="17">
        <v>0.0</v>
      </c>
      <c r="F31" s="17">
        <v>0.0</v>
      </c>
      <c r="G31" s="17">
        <v>2000.0</v>
      </c>
      <c r="H31" s="17">
        <v>0.0</v>
      </c>
      <c r="I31" s="17">
        <v>6480.0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7">
        <v>0.0</v>
      </c>
      <c r="S31" s="17">
        <v>0.0</v>
      </c>
      <c r="T31" s="17">
        <v>0.0</v>
      </c>
      <c r="U31" s="17">
        <v>0.0</v>
      </c>
      <c r="V31" s="17">
        <v>2700.0</v>
      </c>
      <c r="W31" s="17">
        <v>0.0</v>
      </c>
      <c r="X31" s="17">
        <v>0.0</v>
      </c>
      <c r="Y31" s="17">
        <v>0.0</v>
      </c>
      <c r="Z31" s="17">
        <v>0.0</v>
      </c>
      <c r="AA31" s="17">
        <v>0.0</v>
      </c>
      <c r="AB31" s="17">
        <v>0.0</v>
      </c>
      <c r="AC31" s="17">
        <v>0.0</v>
      </c>
      <c r="AD31" s="17">
        <v>0.0</v>
      </c>
      <c r="AE31" s="17">
        <v>0.0</v>
      </c>
      <c r="AF31" s="17">
        <v>0.0</v>
      </c>
      <c r="AG31" s="17">
        <v>0.0</v>
      </c>
      <c r="AH31" s="19">
        <f t="shared" si="5"/>
        <v>11180</v>
      </c>
    </row>
    <row r="32">
      <c r="A32" s="16" t="s">
        <v>31</v>
      </c>
      <c r="B32" s="27">
        <f t="shared" si="4"/>
        <v>0.02395296399</v>
      </c>
      <c r="C32" s="17">
        <v>84200.0</v>
      </c>
      <c r="D32" s="17">
        <v>0.0</v>
      </c>
      <c r="E32" s="17">
        <v>0.0</v>
      </c>
      <c r="F32" s="17">
        <v>88956.0</v>
      </c>
      <c r="G32" s="17">
        <v>241218.0</v>
      </c>
      <c r="H32" s="17">
        <v>78000.0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81700.0</v>
      </c>
      <c r="R32" s="17">
        <v>0.0</v>
      </c>
      <c r="S32" s="17">
        <v>0.0</v>
      </c>
      <c r="T32" s="17">
        <v>0.0</v>
      </c>
      <c r="U32" s="17">
        <v>0.0</v>
      </c>
      <c r="V32" s="17">
        <v>0.0</v>
      </c>
      <c r="W32" s="17">
        <v>0.0</v>
      </c>
      <c r="X32" s="17">
        <f>176420+84000</f>
        <v>260420</v>
      </c>
      <c r="Y32" s="17">
        <v>0.0</v>
      </c>
      <c r="Z32" s="17">
        <v>0.0</v>
      </c>
      <c r="AA32" s="17">
        <v>0.0</v>
      </c>
      <c r="AB32" s="17">
        <v>0.0</v>
      </c>
      <c r="AC32" s="17">
        <v>0.0</v>
      </c>
      <c r="AD32" s="17">
        <v>0.0</v>
      </c>
      <c r="AE32" s="17">
        <v>0.0</v>
      </c>
      <c r="AF32" s="17">
        <v>91000.0</v>
      </c>
      <c r="AG32" s="17">
        <v>0.0</v>
      </c>
      <c r="AH32" s="19">
        <f t="shared" si="5"/>
        <v>925494</v>
      </c>
    </row>
    <row r="33">
      <c r="A33" s="7"/>
      <c r="B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7"/>
      <c r="AH33" s="7"/>
    </row>
    <row r="34">
      <c r="A34" s="31" t="s">
        <v>32</v>
      </c>
      <c r="B34" s="32">
        <f t="shared" ref="B34:B63" si="7">AH34/$AH$10</f>
        <v>0.2157597342</v>
      </c>
      <c r="C34" s="33">
        <f t="shared" ref="C34:AH34" si="6">sum(C35+C55+C65)</f>
        <v>0</v>
      </c>
      <c r="D34" s="33">
        <f t="shared" si="6"/>
        <v>0</v>
      </c>
      <c r="E34" s="33">
        <f t="shared" si="6"/>
        <v>58245</v>
      </c>
      <c r="F34" s="33">
        <f t="shared" si="6"/>
        <v>0</v>
      </c>
      <c r="G34" s="33">
        <f t="shared" si="6"/>
        <v>84350</v>
      </c>
      <c r="H34" s="33">
        <f t="shared" si="6"/>
        <v>322160</v>
      </c>
      <c r="I34" s="33">
        <f t="shared" si="6"/>
        <v>1941129</v>
      </c>
      <c r="J34" s="33">
        <f t="shared" si="6"/>
        <v>59441</v>
      </c>
      <c r="K34" s="33">
        <f t="shared" si="6"/>
        <v>73079</v>
      </c>
      <c r="L34" s="33">
        <f t="shared" si="6"/>
        <v>0</v>
      </c>
      <c r="M34" s="33">
        <f t="shared" si="6"/>
        <v>0</v>
      </c>
      <c r="N34" s="33">
        <f t="shared" si="6"/>
        <v>0</v>
      </c>
      <c r="O34" s="33">
        <f t="shared" si="6"/>
        <v>2663237</v>
      </c>
      <c r="P34" s="33">
        <f t="shared" si="6"/>
        <v>0</v>
      </c>
      <c r="Q34" s="33">
        <f t="shared" si="6"/>
        <v>1003048</v>
      </c>
      <c r="R34" s="33">
        <f t="shared" si="6"/>
        <v>41600</v>
      </c>
      <c r="S34" s="33">
        <f t="shared" si="6"/>
        <v>0</v>
      </c>
      <c r="T34" s="33">
        <f t="shared" si="6"/>
        <v>0</v>
      </c>
      <c r="U34" s="33">
        <f t="shared" si="6"/>
        <v>47600</v>
      </c>
      <c r="V34" s="33">
        <f t="shared" si="6"/>
        <v>77314</v>
      </c>
      <c r="W34" s="33">
        <f t="shared" si="6"/>
        <v>0</v>
      </c>
      <c r="X34" s="33">
        <f t="shared" si="6"/>
        <v>0</v>
      </c>
      <c r="Y34" s="33">
        <f t="shared" si="6"/>
        <v>0</v>
      </c>
      <c r="Z34" s="33">
        <f t="shared" si="6"/>
        <v>110828</v>
      </c>
      <c r="AA34" s="33">
        <f t="shared" si="6"/>
        <v>121087</v>
      </c>
      <c r="AB34" s="33">
        <f t="shared" si="6"/>
        <v>140000</v>
      </c>
      <c r="AC34" s="33">
        <f t="shared" si="6"/>
        <v>100203</v>
      </c>
      <c r="AD34" s="33">
        <f t="shared" si="6"/>
        <v>0</v>
      </c>
      <c r="AE34" s="33">
        <f t="shared" si="6"/>
        <v>893198</v>
      </c>
      <c r="AF34" s="33">
        <f t="shared" si="6"/>
        <v>0</v>
      </c>
      <c r="AG34" s="33">
        <f t="shared" si="6"/>
        <v>600000</v>
      </c>
      <c r="AH34" s="34">
        <f t="shared" si="6"/>
        <v>8336519</v>
      </c>
    </row>
    <row r="35">
      <c r="A35" s="35" t="s">
        <v>33</v>
      </c>
      <c r="B35" s="36">
        <f t="shared" si="7"/>
        <v>0.181285204</v>
      </c>
      <c r="C35" s="37">
        <f t="shared" ref="C35:AH35" si="8">sum(C36:C54)</f>
        <v>0</v>
      </c>
      <c r="D35" s="37">
        <f t="shared" si="8"/>
        <v>0</v>
      </c>
      <c r="E35" s="37">
        <f t="shared" si="8"/>
        <v>0</v>
      </c>
      <c r="F35" s="37">
        <f t="shared" si="8"/>
        <v>0</v>
      </c>
      <c r="G35" s="37">
        <f t="shared" si="8"/>
        <v>84350</v>
      </c>
      <c r="H35" s="37">
        <f t="shared" si="8"/>
        <v>212205</v>
      </c>
      <c r="I35" s="37">
        <f t="shared" si="8"/>
        <v>1937141</v>
      </c>
      <c r="J35" s="37">
        <f t="shared" si="8"/>
        <v>0</v>
      </c>
      <c r="K35" s="37">
        <f t="shared" si="8"/>
        <v>0</v>
      </c>
      <c r="L35" s="37">
        <f t="shared" si="8"/>
        <v>0</v>
      </c>
      <c r="M35" s="37">
        <f t="shared" si="8"/>
        <v>0</v>
      </c>
      <c r="N35" s="37">
        <f t="shared" si="8"/>
        <v>0</v>
      </c>
      <c r="O35" s="37">
        <f t="shared" si="8"/>
        <v>2663237</v>
      </c>
      <c r="P35" s="37">
        <f t="shared" si="8"/>
        <v>0</v>
      </c>
      <c r="Q35" s="37">
        <f t="shared" si="8"/>
        <v>1003048</v>
      </c>
      <c r="R35" s="37">
        <f t="shared" si="8"/>
        <v>0</v>
      </c>
      <c r="S35" s="37">
        <f t="shared" si="8"/>
        <v>0</v>
      </c>
      <c r="T35" s="37">
        <f t="shared" si="8"/>
        <v>0</v>
      </c>
      <c r="U35" s="37">
        <f t="shared" si="8"/>
        <v>0</v>
      </c>
      <c r="V35" s="37">
        <f t="shared" si="8"/>
        <v>77314</v>
      </c>
      <c r="W35" s="37">
        <f t="shared" si="8"/>
        <v>0</v>
      </c>
      <c r="X35" s="37">
        <f t="shared" si="8"/>
        <v>0</v>
      </c>
      <c r="Y35" s="37">
        <f t="shared" si="8"/>
        <v>0</v>
      </c>
      <c r="Z35" s="37">
        <f t="shared" si="8"/>
        <v>0</v>
      </c>
      <c r="AA35" s="37">
        <f t="shared" si="8"/>
        <v>0</v>
      </c>
      <c r="AB35" s="37">
        <f t="shared" si="8"/>
        <v>140000</v>
      </c>
      <c r="AC35" s="37">
        <f t="shared" si="8"/>
        <v>0</v>
      </c>
      <c r="AD35" s="37">
        <f t="shared" si="8"/>
        <v>0</v>
      </c>
      <c r="AE35" s="37">
        <f t="shared" si="8"/>
        <v>887198</v>
      </c>
      <c r="AF35" s="37">
        <f t="shared" si="8"/>
        <v>0</v>
      </c>
      <c r="AG35" s="37">
        <f t="shared" si="8"/>
        <v>0</v>
      </c>
      <c r="AH35" s="38">
        <f t="shared" si="8"/>
        <v>7004493</v>
      </c>
    </row>
    <row r="36">
      <c r="A36" s="16" t="s">
        <v>34</v>
      </c>
      <c r="B36" s="27">
        <f t="shared" si="7"/>
        <v>0.03570852343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20">
        <f>128606+363901</f>
        <v>492507</v>
      </c>
      <c r="R36" s="20">
        <v>0.0</v>
      </c>
      <c r="S36" s="20">
        <v>0.0</v>
      </c>
      <c r="T36" s="20">
        <v>0.0</v>
      </c>
      <c r="U36" s="20">
        <v>0.0</v>
      </c>
      <c r="V36" s="20">
        <v>0.0</v>
      </c>
      <c r="W36" s="20">
        <v>0.0</v>
      </c>
      <c r="X36" s="20">
        <v>0.0</v>
      </c>
      <c r="Y36" s="20">
        <v>0.0</v>
      </c>
      <c r="Z36" s="20">
        <v>0.0</v>
      </c>
      <c r="AA36" s="20">
        <v>0.0</v>
      </c>
      <c r="AB36" s="20">
        <v>0.0</v>
      </c>
      <c r="AC36" s="20">
        <v>0.0</v>
      </c>
      <c r="AD36" s="20">
        <v>0.0</v>
      </c>
      <c r="AE36" s="17">
        <v>887198.0</v>
      </c>
      <c r="AF36" s="20">
        <v>0.0</v>
      </c>
      <c r="AG36" s="20">
        <v>0.0</v>
      </c>
      <c r="AH36" s="19">
        <f t="shared" ref="AH36:AH54" si="9">SUM(C36:AG36)</f>
        <v>1379705</v>
      </c>
    </row>
    <row r="37">
      <c r="A37" s="16" t="s">
        <v>35</v>
      </c>
      <c r="B37" s="27">
        <f t="shared" si="7"/>
        <v>0.001921736373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17">
        <v>74252.0</v>
      </c>
      <c r="R37" s="20">
        <v>0.0</v>
      </c>
      <c r="S37" s="20">
        <v>0.0</v>
      </c>
      <c r="T37" s="20">
        <v>0.0</v>
      </c>
      <c r="U37" s="20">
        <v>0.0</v>
      </c>
      <c r="V37" s="20">
        <v>0.0</v>
      </c>
      <c r="W37" s="20">
        <v>0.0</v>
      </c>
      <c r="X37" s="20">
        <v>0.0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20">
        <v>0.0</v>
      </c>
      <c r="AF37" s="20">
        <v>0.0</v>
      </c>
      <c r="AG37" s="20">
        <v>0.0</v>
      </c>
      <c r="AH37" s="19">
        <f t="shared" si="9"/>
        <v>74252</v>
      </c>
    </row>
    <row r="38">
      <c r="A38" s="16" t="s">
        <v>36</v>
      </c>
      <c r="B38" s="27">
        <f t="shared" si="7"/>
        <v>0.0100433061</v>
      </c>
      <c r="C38" s="20">
        <v>0.0</v>
      </c>
      <c r="D38" s="20">
        <v>0.0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20">
        <v>0.0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17">
        <v>388053.0</v>
      </c>
      <c r="R38" s="20">
        <v>0.0</v>
      </c>
      <c r="S38" s="20">
        <v>0.0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0.0</v>
      </c>
      <c r="Z38" s="20">
        <v>0.0</v>
      </c>
      <c r="AA38" s="20">
        <v>0.0</v>
      </c>
      <c r="AB38" s="20">
        <v>0.0</v>
      </c>
      <c r="AC38" s="20">
        <v>0.0</v>
      </c>
      <c r="AD38" s="20">
        <v>0.0</v>
      </c>
      <c r="AE38" s="20">
        <v>0.0</v>
      </c>
      <c r="AF38" s="20">
        <v>0.0</v>
      </c>
      <c r="AG38" s="20">
        <v>0.0</v>
      </c>
      <c r="AH38" s="19">
        <f t="shared" si="9"/>
        <v>388053</v>
      </c>
    </row>
    <row r="39">
      <c r="A39" s="16" t="s">
        <v>37</v>
      </c>
      <c r="B39" s="27">
        <f t="shared" si="7"/>
        <v>0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v>0.0</v>
      </c>
      <c r="I39" s="20">
        <v>0.0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  <c r="V39" s="20">
        <v>0.0</v>
      </c>
      <c r="W39" s="20">
        <v>0.0</v>
      </c>
      <c r="X39" s="20">
        <v>0.0</v>
      </c>
      <c r="Y39" s="20">
        <v>0.0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>
        <v>0.0</v>
      </c>
      <c r="AH39" s="19">
        <f t="shared" si="9"/>
        <v>0</v>
      </c>
    </row>
    <row r="40">
      <c r="A40" s="16" t="s">
        <v>38</v>
      </c>
      <c r="B40" s="27">
        <f t="shared" si="7"/>
        <v>0.005492135794</v>
      </c>
      <c r="C40" s="20">
        <v>0.0</v>
      </c>
      <c r="D40" s="20">
        <v>0.0</v>
      </c>
      <c r="E40" s="20">
        <v>0.0</v>
      </c>
      <c r="F40" s="20">
        <v>0.0</v>
      </c>
      <c r="G40" s="20">
        <v>0.0</v>
      </c>
      <c r="H40" s="20">
        <f>96658+115547</f>
        <v>212205</v>
      </c>
      <c r="I40" s="20">
        <v>0.0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20">
        <v>0.0</v>
      </c>
      <c r="P40" s="20">
        <v>0.0</v>
      </c>
      <c r="Q40" s="20">
        <v>0.0</v>
      </c>
      <c r="R40" s="20">
        <v>0.0</v>
      </c>
      <c r="S40" s="20">
        <v>0.0</v>
      </c>
      <c r="T40" s="20">
        <v>0.0</v>
      </c>
      <c r="U40" s="20">
        <v>0.0</v>
      </c>
      <c r="V40" s="20">
        <v>0.0</v>
      </c>
      <c r="W40" s="20">
        <v>0.0</v>
      </c>
      <c r="X40" s="20">
        <v>0.0</v>
      </c>
      <c r="Y40" s="20">
        <v>0.0</v>
      </c>
      <c r="Z40" s="20">
        <v>0.0</v>
      </c>
      <c r="AA40" s="20">
        <v>0.0</v>
      </c>
      <c r="AB40" s="20">
        <v>0.0</v>
      </c>
      <c r="AC40" s="20">
        <v>0.0</v>
      </c>
      <c r="AD40" s="20">
        <v>0.0</v>
      </c>
      <c r="AE40" s="20">
        <v>0.0</v>
      </c>
      <c r="AF40" s="20">
        <v>0.0</v>
      </c>
      <c r="AG40" s="20">
        <v>0.0</v>
      </c>
      <c r="AH40" s="19">
        <f t="shared" si="9"/>
        <v>212205</v>
      </c>
    </row>
    <row r="41">
      <c r="A41" s="16" t="s">
        <v>39</v>
      </c>
      <c r="B41" s="27">
        <f t="shared" si="7"/>
        <v>0.001248409143</v>
      </c>
      <c r="C41" s="20">
        <v>0.0</v>
      </c>
      <c r="D41" s="20">
        <v>0.0</v>
      </c>
      <c r="E41" s="20">
        <v>0.0</v>
      </c>
      <c r="F41" s="20">
        <v>0.0</v>
      </c>
      <c r="G41" s="20">
        <v>0.0</v>
      </c>
      <c r="H41" s="20">
        <v>0.0</v>
      </c>
      <c r="I41" s="20">
        <v>0.0</v>
      </c>
      <c r="J41" s="20">
        <v>0.0</v>
      </c>
      <c r="K41" s="20">
        <v>0.0</v>
      </c>
      <c r="L41" s="20">
        <v>0.0</v>
      </c>
      <c r="M41" s="20">
        <v>0.0</v>
      </c>
      <c r="N41" s="20">
        <v>0.0</v>
      </c>
      <c r="O41" s="20">
        <v>0.0</v>
      </c>
      <c r="P41" s="20">
        <v>0.0</v>
      </c>
      <c r="Q41" s="17">
        <v>48236.0</v>
      </c>
      <c r="R41" s="20">
        <v>0.0</v>
      </c>
      <c r="S41" s="20">
        <v>0.0</v>
      </c>
      <c r="T41" s="20">
        <v>0.0</v>
      </c>
      <c r="U41" s="20">
        <v>0.0</v>
      </c>
      <c r="V41" s="20">
        <v>0.0</v>
      </c>
      <c r="W41" s="20">
        <v>0.0</v>
      </c>
      <c r="X41" s="20">
        <v>0.0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20">
        <v>0.0</v>
      </c>
      <c r="AE41" s="20">
        <v>0.0</v>
      </c>
      <c r="AF41" s="20">
        <v>0.0</v>
      </c>
      <c r="AG41" s="20">
        <v>0.0</v>
      </c>
      <c r="AH41" s="19">
        <f t="shared" si="9"/>
        <v>48236</v>
      </c>
    </row>
    <row r="42">
      <c r="A42" s="16" t="s">
        <v>40</v>
      </c>
      <c r="B42" s="27">
        <f t="shared" si="7"/>
        <v>0</v>
      </c>
      <c r="C42" s="20">
        <v>0.0</v>
      </c>
      <c r="D42" s="20">
        <v>0.0</v>
      </c>
      <c r="E42" s="20">
        <v>0.0</v>
      </c>
      <c r="F42" s="20">
        <v>0.0</v>
      </c>
      <c r="G42" s="20">
        <v>0.0</v>
      </c>
      <c r="H42" s="20">
        <v>0.0</v>
      </c>
      <c r="I42" s="20">
        <v>0.0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0.0</v>
      </c>
      <c r="AF42" s="20">
        <v>0.0</v>
      </c>
      <c r="AG42" s="20">
        <v>0.0</v>
      </c>
      <c r="AH42" s="19">
        <f t="shared" si="9"/>
        <v>0</v>
      </c>
    </row>
    <row r="43">
      <c r="A43" s="16" t="s">
        <v>41</v>
      </c>
      <c r="B43" s="27">
        <f t="shared" si="7"/>
        <v>0</v>
      </c>
      <c r="C43" s="20">
        <v>0.0</v>
      </c>
      <c r="D43" s="20">
        <v>0.0</v>
      </c>
      <c r="E43" s="20">
        <v>0.0</v>
      </c>
      <c r="F43" s="20">
        <v>0.0</v>
      </c>
      <c r="G43" s="20">
        <v>0.0</v>
      </c>
      <c r="H43" s="20">
        <v>0.0</v>
      </c>
      <c r="I43" s="20">
        <v>0.0</v>
      </c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20">
        <v>0.0</v>
      </c>
      <c r="AD43" s="20">
        <v>0.0</v>
      </c>
      <c r="AE43" s="20">
        <v>0.0</v>
      </c>
      <c r="AF43" s="20">
        <v>0.0</v>
      </c>
      <c r="AG43" s="20">
        <v>0.0</v>
      </c>
      <c r="AH43" s="19">
        <f t="shared" si="9"/>
        <v>0</v>
      </c>
    </row>
    <row r="44">
      <c r="A44" s="16" t="s">
        <v>42</v>
      </c>
      <c r="B44" s="27">
        <f t="shared" si="7"/>
        <v>0.04778048145</v>
      </c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17">
        <v>1846141.0</v>
      </c>
      <c r="J44" s="20">
        <v>0.0</v>
      </c>
      <c r="K44" s="20">
        <v>0.0</v>
      </c>
      <c r="L44" s="20">
        <v>0.0</v>
      </c>
      <c r="M44" s="20">
        <v>0.0</v>
      </c>
      <c r="N44" s="20">
        <v>0.0</v>
      </c>
      <c r="O44" s="20">
        <v>0.0</v>
      </c>
      <c r="P44" s="20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20">
        <v>0.0</v>
      </c>
      <c r="W44" s="20">
        <v>0.0</v>
      </c>
      <c r="X44" s="20">
        <v>0.0</v>
      </c>
      <c r="Y44" s="20">
        <v>0.0</v>
      </c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20">
        <v>0.0</v>
      </c>
      <c r="AF44" s="20">
        <v>0.0</v>
      </c>
      <c r="AG44" s="20">
        <v>0.0</v>
      </c>
      <c r="AH44" s="19">
        <f t="shared" si="9"/>
        <v>1846141</v>
      </c>
    </row>
    <row r="45">
      <c r="A45" s="16" t="s">
        <v>43</v>
      </c>
      <c r="B45" s="27">
        <f t="shared" si="7"/>
        <v>0</v>
      </c>
      <c r="C45" s="20">
        <v>0.0</v>
      </c>
      <c r="D45" s="20">
        <v>0.0</v>
      </c>
      <c r="E45" s="20">
        <v>0.0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0">
        <v>0.0</v>
      </c>
      <c r="M45" s="20">
        <v>0.0</v>
      </c>
      <c r="N45" s="20">
        <v>0.0</v>
      </c>
      <c r="O45" s="20">
        <v>0.0</v>
      </c>
      <c r="P45" s="20">
        <v>0.0</v>
      </c>
      <c r="Q45" s="20">
        <v>0.0</v>
      </c>
      <c r="R45" s="20">
        <v>0.0</v>
      </c>
      <c r="S45" s="20">
        <v>0.0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20">
        <v>0.0</v>
      </c>
      <c r="AA45" s="20">
        <v>0.0</v>
      </c>
      <c r="AB45" s="20">
        <v>0.0</v>
      </c>
      <c r="AC45" s="20">
        <v>0.0</v>
      </c>
      <c r="AD45" s="20">
        <v>0.0</v>
      </c>
      <c r="AE45" s="20">
        <v>0.0</v>
      </c>
      <c r="AF45" s="20">
        <v>0.0</v>
      </c>
      <c r="AG45" s="20">
        <v>0.0</v>
      </c>
      <c r="AH45" s="19">
        <f t="shared" si="9"/>
        <v>0</v>
      </c>
    </row>
    <row r="46">
      <c r="A46" s="28" t="s">
        <v>44</v>
      </c>
      <c r="B46" s="27">
        <f t="shared" si="7"/>
        <v>0.002000984834</v>
      </c>
      <c r="C46" s="20">
        <v>0.0</v>
      </c>
      <c r="D46" s="20">
        <v>0.0</v>
      </c>
      <c r="E46" s="20">
        <v>0.0</v>
      </c>
      <c r="F46" s="20">
        <v>0.0</v>
      </c>
      <c r="G46" s="20">
        <v>0.0</v>
      </c>
      <c r="H46" s="20">
        <v>0.0</v>
      </c>
      <c r="I46" s="20">
        <v>0.0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  <c r="V46" s="17">
        <v>77314.0</v>
      </c>
      <c r="W46" s="20">
        <v>0.0</v>
      </c>
      <c r="X46" s="20">
        <v>0.0</v>
      </c>
      <c r="Y46" s="20">
        <v>0.0</v>
      </c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20">
        <v>0.0</v>
      </c>
      <c r="AF46" s="20">
        <v>0.0</v>
      </c>
      <c r="AG46" s="20">
        <v>0.0</v>
      </c>
      <c r="AH46" s="19">
        <f t="shared" si="9"/>
        <v>77314</v>
      </c>
    </row>
    <row r="47">
      <c r="A47" s="16" t="s">
        <v>45</v>
      </c>
      <c r="B47" s="27">
        <f t="shared" si="7"/>
        <v>0</v>
      </c>
      <c r="C47" s="20">
        <v>0.0</v>
      </c>
      <c r="D47" s="20">
        <v>0.0</v>
      </c>
      <c r="E47" s="20">
        <v>0.0</v>
      </c>
      <c r="F47" s="20">
        <v>0.0</v>
      </c>
      <c r="G47" s="20">
        <v>0.0</v>
      </c>
      <c r="H47" s="20">
        <v>0.0</v>
      </c>
      <c r="I47" s="20">
        <v>0.0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0">
        <v>0.0</v>
      </c>
      <c r="Q47" s="20">
        <v>0.0</v>
      </c>
      <c r="R47" s="20">
        <v>0.0</v>
      </c>
      <c r="S47" s="20">
        <v>0.0</v>
      </c>
      <c r="T47" s="20">
        <v>0.0</v>
      </c>
      <c r="U47" s="20">
        <v>0.0</v>
      </c>
      <c r="V47" s="20">
        <v>0.0</v>
      </c>
      <c r="W47" s="20">
        <v>0.0</v>
      </c>
      <c r="X47" s="20">
        <v>0.0</v>
      </c>
      <c r="Y47" s="20">
        <v>0.0</v>
      </c>
      <c r="Z47" s="20">
        <v>0.0</v>
      </c>
      <c r="AA47" s="20">
        <v>0.0</v>
      </c>
      <c r="AB47" s="20">
        <v>0.0</v>
      </c>
      <c r="AC47" s="20">
        <v>0.0</v>
      </c>
      <c r="AD47" s="20">
        <v>0.0</v>
      </c>
      <c r="AE47" s="20">
        <v>0.0</v>
      </c>
      <c r="AF47" s="20">
        <v>0.0</v>
      </c>
      <c r="AG47" s="20">
        <v>0.0</v>
      </c>
      <c r="AH47" s="19">
        <f t="shared" si="9"/>
        <v>0</v>
      </c>
    </row>
    <row r="48">
      <c r="A48" s="16" t="s">
        <v>46</v>
      </c>
      <c r="B48" s="27">
        <f t="shared" si="7"/>
        <v>0.004357112513</v>
      </c>
      <c r="C48" s="20">
        <v>0.0</v>
      </c>
      <c r="D48" s="20">
        <v>0.0</v>
      </c>
      <c r="E48" s="20">
        <v>0.0</v>
      </c>
      <c r="F48" s="20">
        <v>0.0</v>
      </c>
      <c r="G48" s="17">
        <v>77350.0</v>
      </c>
      <c r="H48" s="20">
        <v>0.0</v>
      </c>
      <c r="I48" s="17">
        <v>91000.0</v>
      </c>
      <c r="J48" s="20">
        <v>0.0</v>
      </c>
      <c r="K48" s="20">
        <v>0.0</v>
      </c>
      <c r="L48" s="20">
        <v>0.0</v>
      </c>
      <c r="M48" s="20">
        <v>0.0</v>
      </c>
      <c r="N48" s="20">
        <v>0.0</v>
      </c>
      <c r="O48" s="20">
        <v>0.0</v>
      </c>
      <c r="P48" s="20">
        <v>0.0</v>
      </c>
      <c r="Q48" s="20">
        <v>0.0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20">
        <v>0.0</v>
      </c>
      <c r="Z48" s="20">
        <v>0.0</v>
      </c>
      <c r="AA48" s="20">
        <v>0.0</v>
      </c>
      <c r="AB48" s="20">
        <v>0.0</v>
      </c>
      <c r="AC48" s="20">
        <v>0.0</v>
      </c>
      <c r="AD48" s="20">
        <v>0.0</v>
      </c>
      <c r="AE48" s="20">
        <v>0.0</v>
      </c>
      <c r="AF48" s="20">
        <v>0.0</v>
      </c>
      <c r="AG48" s="20">
        <v>0.0</v>
      </c>
      <c r="AH48" s="19">
        <f t="shared" si="9"/>
        <v>168350</v>
      </c>
    </row>
    <row r="49">
      <c r="A49" s="16" t="s">
        <v>47</v>
      </c>
      <c r="B49" s="27">
        <f t="shared" si="7"/>
        <v>0.0001811689195</v>
      </c>
      <c r="C49" s="20">
        <v>0.0</v>
      </c>
      <c r="D49" s="20">
        <v>0.0</v>
      </c>
      <c r="E49" s="20">
        <v>0.0</v>
      </c>
      <c r="F49" s="20">
        <v>0.0</v>
      </c>
      <c r="G49" s="17">
        <v>7000.0</v>
      </c>
      <c r="H49" s="20">
        <v>0.0</v>
      </c>
      <c r="I49" s="20">
        <v>0.0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0">
        <v>0.0</v>
      </c>
      <c r="P49" s="20">
        <v>0.0</v>
      </c>
      <c r="Q49" s="20">
        <v>0.0</v>
      </c>
      <c r="R49" s="20">
        <v>0.0</v>
      </c>
      <c r="S49" s="20">
        <v>0.0</v>
      </c>
      <c r="T49" s="20">
        <v>0.0</v>
      </c>
      <c r="U49" s="20">
        <v>0.0</v>
      </c>
      <c r="V49" s="20">
        <v>0.0</v>
      </c>
      <c r="W49" s="20">
        <v>0.0</v>
      </c>
      <c r="X49" s="20">
        <v>0.0</v>
      </c>
      <c r="Y49" s="20">
        <v>0.0</v>
      </c>
      <c r="Z49" s="20">
        <v>0.0</v>
      </c>
      <c r="AA49" s="20">
        <v>0.0</v>
      </c>
      <c r="AB49" s="20">
        <v>0.0</v>
      </c>
      <c r="AC49" s="20">
        <v>0.0</v>
      </c>
      <c r="AD49" s="20">
        <v>0.0</v>
      </c>
      <c r="AE49" s="20">
        <v>0.0</v>
      </c>
      <c r="AF49" s="20">
        <v>0.0</v>
      </c>
      <c r="AG49" s="20">
        <v>0.0</v>
      </c>
      <c r="AH49" s="19">
        <f t="shared" si="9"/>
        <v>7000</v>
      </c>
    </row>
    <row r="50">
      <c r="A50" s="16" t="s">
        <v>48</v>
      </c>
      <c r="B50" s="27">
        <f t="shared" si="7"/>
        <v>0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20">
        <v>0.0</v>
      </c>
      <c r="N50" s="20">
        <v>0.0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20">
        <v>0.0</v>
      </c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20">
        <v>0.0</v>
      </c>
      <c r="AF50" s="20">
        <v>0.0</v>
      </c>
      <c r="AG50" s="20">
        <v>0.0</v>
      </c>
      <c r="AH50" s="19">
        <f t="shared" si="9"/>
        <v>0</v>
      </c>
    </row>
    <row r="51">
      <c r="A51" s="16" t="s">
        <v>49</v>
      </c>
      <c r="B51" s="27">
        <f t="shared" si="7"/>
        <v>0</v>
      </c>
      <c r="C51" s="20">
        <v>0.0</v>
      </c>
      <c r="D51" s="20">
        <v>0.0</v>
      </c>
      <c r="E51" s="20">
        <v>0.0</v>
      </c>
      <c r="F51" s="20">
        <v>0.0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  <c r="V51" s="20">
        <v>0.0</v>
      </c>
      <c r="W51" s="20">
        <v>0.0</v>
      </c>
      <c r="X51" s="20">
        <v>0.0</v>
      </c>
      <c r="Y51" s="20">
        <v>0.0</v>
      </c>
      <c r="Z51" s="20">
        <v>0.0</v>
      </c>
      <c r="AA51" s="20">
        <v>0.0</v>
      </c>
      <c r="AB51" s="20">
        <v>0.0</v>
      </c>
      <c r="AC51" s="20">
        <v>0.0</v>
      </c>
      <c r="AD51" s="20">
        <v>0.0</v>
      </c>
      <c r="AE51" s="20">
        <v>0.0</v>
      </c>
      <c r="AF51" s="20">
        <v>0.0</v>
      </c>
      <c r="AG51" s="20">
        <v>0.0</v>
      </c>
      <c r="AH51" s="19">
        <f t="shared" si="9"/>
        <v>0</v>
      </c>
    </row>
    <row r="52">
      <c r="A52" s="16" t="s">
        <v>50</v>
      </c>
      <c r="B52" s="27">
        <f t="shared" si="7"/>
        <v>0.003623378389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0">
        <v>0.0</v>
      </c>
      <c r="M52" s="20">
        <v>0.0</v>
      </c>
      <c r="N52" s="20">
        <v>0.0</v>
      </c>
      <c r="O52" s="20">
        <v>0.0</v>
      </c>
      <c r="P52" s="20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20">
        <v>0.0</v>
      </c>
      <c r="X52" s="20">
        <v>0.0</v>
      </c>
      <c r="Y52" s="20">
        <v>0.0</v>
      </c>
      <c r="Z52" s="20">
        <v>0.0</v>
      </c>
      <c r="AA52" s="20">
        <v>0.0</v>
      </c>
      <c r="AB52" s="17">
        <v>140000.0</v>
      </c>
      <c r="AC52" s="20">
        <v>0.0</v>
      </c>
      <c r="AD52" s="20">
        <v>0.0</v>
      </c>
      <c r="AE52" s="20">
        <v>0.0</v>
      </c>
      <c r="AF52" s="20">
        <v>0.0</v>
      </c>
      <c r="AG52" s="20">
        <v>0.0</v>
      </c>
      <c r="AH52" s="19">
        <f t="shared" si="9"/>
        <v>140000</v>
      </c>
    </row>
    <row r="53">
      <c r="A53" s="16" t="s">
        <v>51</v>
      </c>
      <c r="B53" s="27">
        <f t="shared" si="7"/>
        <v>0</v>
      </c>
      <c r="C53" s="20">
        <v>0.0</v>
      </c>
      <c r="D53" s="20">
        <v>0.0</v>
      </c>
      <c r="E53" s="20">
        <v>0.0</v>
      </c>
      <c r="F53" s="20">
        <v>0.0</v>
      </c>
      <c r="G53" s="20">
        <v>0.0</v>
      </c>
      <c r="H53" s="20">
        <v>0.0</v>
      </c>
      <c r="I53" s="20">
        <v>0.0</v>
      </c>
      <c r="J53" s="20">
        <v>0.0</v>
      </c>
      <c r="K53" s="20">
        <v>0.0</v>
      </c>
      <c r="L53" s="20">
        <v>0.0</v>
      </c>
      <c r="M53" s="20">
        <v>0.0</v>
      </c>
      <c r="N53" s="20">
        <v>0.0</v>
      </c>
      <c r="O53" s="20">
        <v>0.0</v>
      </c>
      <c r="P53" s="20">
        <v>0.0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  <c r="V53" s="20">
        <v>0.0</v>
      </c>
      <c r="W53" s="20">
        <v>0.0</v>
      </c>
      <c r="X53" s="20">
        <v>0.0</v>
      </c>
      <c r="Y53" s="20">
        <v>0.0</v>
      </c>
      <c r="Z53" s="20">
        <v>0.0</v>
      </c>
      <c r="AA53" s="20">
        <v>0.0</v>
      </c>
      <c r="AB53" s="20">
        <v>0.0</v>
      </c>
      <c r="AC53" s="20">
        <v>0.0</v>
      </c>
      <c r="AD53" s="20">
        <v>0.0</v>
      </c>
      <c r="AE53" s="20">
        <v>0.0</v>
      </c>
      <c r="AF53" s="20">
        <v>0.0</v>
      </c>
      <c r="AG53" s="20">
        <v>0.0</v>
      </c>
      <c r="AH53" s="19">
        <f t="shared" si="9"/>
        <v>0</v>
      </c>
    </row>
    <row r="54">
      <c r="A54" s="16" t="s">
        <v>52</v>
      </c>
      <c r="B54" s="27">
        <f t="shared" si="7"/>
        <v>0.06892796708</v>
      </c>
      <c r="C54" s="20">
        <v>0.0</v>
      </c>
      <c r="D54" s="20">
        <v>0.0</v>
      </c>
      <c r="E54" s="20">
        <v>0.0</v>
      </c>
      <c r="F54" s="20">
        <v>0.0</v>
      </c>
      <c r="G54" s="20">
        <v>0.0</v>
      </c>
      <c r="H54" s="20">
        <v>0.0</v>
      </c>
      <c r="I54" s="20">
        <v>0.0</v>
      </c>
      <c r="J54" s="20">
        <v>0.0</v>
      </c>
      <c r="K54" s="20">
        <v>0.0</v>
      </c>
      <c r="L54" s="20">
        <v>0.0</v>
      </c>
      <c r="M54" s="20">
        <v>0.0</v>
      </c>
      <c r="N54" s="20">
        <v>0.0</v>
      </c>
      <c r="O54" s="17">
        <v>2663237.0</v>
      </c>
      <c r="P54" s="20">
        <v>0.0</v>
      </c>
      <c r="Q54" s="20">
        <v>0.0</v>
      </c>
      <c r="R54" s="20">
        <v>0.0</v>
      </c>
      <c r="S54" s="20">
        <v>0.0</v>
      </c>
      <c r="T54" s="20">
        <v>0.0</v>
      </c>
      <c r="U54" s="20">
        <v>0.0</v>
      </c>
      <c r="V54" s="20">
        <v>0.0</v>
      </c>
      <c r="W54" s="20">
        <v>0.0</v>
      </c>
      <c r="X54" s="20">
        <v>0.0</v>
      </c>
      <c r="Y54" s="20">
        <v>0.0</v>
      </c>
      <c r="Z54" s="20">
        <v>0.0</v>
      </c>
      <c r="AA54" s="20">
        <v>0.0</v>
      </c>
      <c r="AB54" s="20">
        <v>0.0</v>
      </c>
      <c r="AC54" s="20">
        <v>0.0</v>
      </c>
      <c r="AD54" s="20">
        <v>0.0</v>
      </c>
      <c r="AE54" s="20">
        <v>0.0</v>
      </c>
      <c r="AF54" s="20">
        <v>0.0</v>
      </c>
      <c r="AG54" s="20">
        <v>0.0</v>
      </c>
      <c r="AH54" s="19">
        <f t="shared" si="9"/>
        <v>2663237</v>
      </c>
    </row>
    <row r="55">
      <c r="A55" s="35" t="s">
        <v>53</v>
      </c>
      <c r="B55" s="36">
        <f t="shared" si="7"/>
        <v>0.002873571994</v>
      </c>
      <c r="C55" s="37">
        <f t="shared" ref="C55:AE55" si="10">sum(C56:C63)</f>
        <v>0</v>
      </c>
      <c r="D55" s="37">
        <f t="shared" si="10"/>
        <v>0</v>
      </c>
      <c r="E55" s="37">
        <f t="shared" si="10"/>
        <v>0</v>
      </c>
      <c r="F55" s="37">
        <f t="shared" si="10"/>
        <v>0</v>
      </c>
      <c r="G55" s="37">
        <f t="shared" si="10"/>
        <v>0</v>
      </c>
      <c r="H55" s="37">
        <f t="shared" si="10"/>
        <v>0</v>
      </c>
      <c r="I55" s="37">
        <f t="shared" si="10"/>
        <v>3988</v>
      </c>
      <c r="J55" s="37">
        <f t="shared" si="10"/>
        <v>59441</v>
      </c>
      <c r="K55" s="37">
        <f t="shared" si="10"/>
        <v>0</v>
      </c>
      <c r="L55" s="37">
        <f t="shared" si="10"/>
        <v>0</v>
      </c>
      <c r="M55" s="37">
        <f t="shared" si="10"/>
        <v>0</v>
      </c>
      <c r="N55" s="37">
        <f t="shared" si="10"/>
        <v>0</v>
      </c>
      <c r="O55" s="37">
        <f t="shared" si="10"/>
        <v>0</v>
      </c>
      <c r="P55" s="37">
        <f t="shared" si="10"/>
        <v>0</v>
      </c>
      <c r="Q55" s="37">
        <f t="shared" si="10"/>
        <v>0</v>
      </c>
      <c r="R55" s="37">
        <f t="shared" si="10"/>
        <v>41600</v>
      </c>
      <c r="S55" s="37">
        <f t="shared" si="10"/>
        <v>0</v>
      </c>
      <c r="T55" s="37">
        <f t="shared" si="10"/>
        <v>0</v>
      </c>
      <c r="U55" s="37">
        <f t="shared" si="10"/>
        <v>0</v>
      </c>
      <c r="V55" s="37">
        <f t="shared" si="10"/>
        <v>0</v>
      </c>
      <c r="W55" s="37">
        <f t="shared" si="10"/>
        <v>0</v>
      </c>
      <c r="X55" s="37">
        <f t="shared" si="10"/>
        <v>0</v>
      </c>
      <c r="Y55" s="37">
        <f t="shared" si="10"/>
        <v>0</v>
      </c>
      <c r="Z55" s="37">
        <f t="shared" si="10"/>
        <v>0</v>
      </c>
      <c r="AA55" s="37">
        <f t="shared" si="10"/>
        <v>0</v>
      </c>
      <c r="AB55" s="37">
        <f t="shared" si="10"/>
        <v>0</v>
      </c>
      <c r="AC55" s="37">
        <f t="shared" si="10"/>
        <v>0</v>
      </c>
      <c r="AD55" s="37">
        <f t="shared" si="10"/>
        <v>0</v>
      </c>
      <c r="AE55" s="37">
        <f t="shared" si="10"/>
        <v>6000</v>
      </c>
      <c r="AF55" s="37">
        <f>SUM(AF56:AF63)</f>
        <v>0</v>
      </c>
      <c r="AG55" s="37">
        <f>sum(AG56:AG63)</f>
        <v>0</v>
      </c>
      <c r="AH55" s="38">
        <f>SUM(AH56:AH63)</f>
        <v>111029</v>
      </c>
    </row>
    <row r="56">
      <c r="A56" s="16" t="s">
        <v>54</v>
      </c>
      <c r="B56" s="27">
        <f t="shared" si="7"/>
        <v>0.0001032145215</v>
      </c>
      <c r="C56" s="20">
        <v>0.0</v>
      </c>
      <c r="D56" s="20">
        <v>0.0</v>
      </c>
      <c r="E56" s="20">
        <v>0.0</v>
      </c>
      <c r="F56" s="20">
        <v>0.0</v>
      </c>
      <c r="G56" s="20">
        <v>0.0</v>
      </c>
      <c r="H56" s="20">
        <v>0.0</v>
      </c>
      <c r="I56" s="17">
        <v>3988.0</v>
      </c>
      <c r="J56" s="20">
        <v>0.0</v>
      </c>
      <c r="K56" s="20">
        <v>0.0</v>
      </c>
      <c r="L56" s="20">
        <v>0.0</v>
      </c>
      <c r="M56" s="20">
        <v>0.0</v>
      </c>
      <c r="N56" s="20">
        <v>0.0</v>
      </c>
      <c r="O56" s="20">
        <v>0.0</v>
      </c>
      <c r="P56" s="20">
        <v>0.0</v>
      </c>
      <c r="Q56" s="20">
        <v>0.0</v>
      </c>
      <c r="R56" s="20">
        <v>0.0</v>
      </c>
      <c r="S56" s="20">
        <v>0.0</v>
      </c>
      <c r="T56" s="20">
        <v>0.0</v>
      </c>
      <c r="U56" s="20">
        <v>0.0</v>
      </c>
      <c r="V56" s="20">
        <v>0.0</v>
      </c>
      <c r="W56" s="20">
        <v>0.0</v>
      </c>
      <c r="X56" s="20">
        <v>0.0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20">
        <v>0.0</v>
      </c>
      <c r="AF56" s="20">
        <v>0.0</v>
      </c>
      <c r="AG56" s="20">
        <v>0.0</v>
      </c>
      <c r="AH56" s="19">
        <f t="shared" ref="AH56:AH63" si="11">SUM(C56:AG56)</f>
        <v>3988</v>
      </c>
    </row>
    <row r="57">
      <c r="A57" s="16" t="s">
        <v>55</v>
      </c>
      <c r="B57" s="27">
        <f t="shared" si="7"/>
        <v>0</v>
      </c>
      <c r="C57" s="20">
        <v>0.0</v>
      </c>
      <c r="D57" s="20">
        <v>0.0</v>
      </c>
      <c r="E57" s="20">
        <v>0.0</v>
      </c>
      <c r="F57" s="20">
        <v>0.0</v>
      </c>
      <c r="G57" s="20">
        <v>0.0</v>
      </c>
      <c r="H57" s="20">
        <v>0.0</v>
      </c>
      <c r="I57" s="20">
        <v>0.0</v>
      </c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  <c r="V57" s="20">
        <v>0.0</v>
      </c>
      <c r="W57" s="20">
        <v>0.0</v>
      </c>
      <c r="X57" s="20">
        <v>0.0</v>
      </c>
      <c r="Y57" s="20">
        <v>0.0</v>
      </c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19">
        <f t="shared" si="11"/>
        <v>0</v>
      </c>
    </row>
    <row r="58">
      <c r="A58" s="16" t="s">
        <v>56</v>
      </c>
      <c r="B58" s="27">
        <f t="shared" si="7"/>
        <v>0</v>
      </c>
      <c r="C58" s="20">
        <v>0.0</v>
      </c>
      <c r="D58" s="20">
        <v>0.0</v>
      </c>
      <c r="E58" s="20">
        <v>0.0</v>
      </c>
      <c r="F58" s="20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0">
        <v>0.0</v>
      </c>
      <c r="M58" s="20">
        <v>0.0</v>
      </c>
      <c r="N58" s="20">
        <v>0.0</v>
      </c>
      <c r="O58" s="20">
        <v>0.0</v>
      </c>
      <c r="P58" s="20">
        <v>0.0</v>
      </c>
      <c r="Q58" s="20">
        <v>0.0</v>
      </c>
      <c r="R58" s="20">
        <v>0.0</v>
      </c>
      <c r="S58" s="20">
        <v>0.0</v>
      </c>
      <c r="T58" s="20">
        <v>0.0</v>
      </c>
      <c r="U58" s="20">
        <v>0.0</v>
      </c>
      <c r="V58" s="20">
        <v>0.0</v>
      </c>
      <c r="W58" s="20">
        <v>0.0</v>
      </c>
      <c r="X58" s="20">
        <v>0.0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20">
        <v>0.0</v>
      </c>
      <c r="AE58" s="20">
        <v>0.0</v>
      </c>
      <c r="AF58" s="20">
        <v>0.0</v>
      </c>
      <c r="AG58" s="20">
        <v>0.0</v>
      </c>
      <c r="AH58" s="19">
        <f t="shared" si="11"/>
        <v>0</v>
      </c>
    </row>
    <row r="59">
      <c r="A59" s="16" t="s">
        <v>57</v>
      </c>
      <c r="B59" s="27">
        <f t="shared" si="7"/>
        <v>0.001693696466</v>
      </c>
      <c r="C59" s="20">
        <v>0.0</v>
      </c>
      <c r="D59" s="20">
        <v>0.0</v>
      </c>
      <c r="E59" s="20">
        <v>0.0</v>
      </c>
      <c r="F59" s="20">
        <v>0.0</v>
      </c>
      <c r="G59" s="20">
        <v>0.0</v>
      </c>
      <c r="H59" s="20">
        <v>0.0</v>
      </c>
      <c r="I59" s="20">
        <v>0.0</v>
      </c>
      <c r="J59" s="17">
        <v>59441.0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0.0</v>
      </c>
      <c r="S59" s="20">
        <v>0.0</v>
      </c>
      <c r="T59" s="20">
        <v>0.0</v>
      </c>
      <c r="U59" s="20">
        <v>0.0</v>
      </c>
      <c r="V59" s="20">
        <v>0.0</v>
      </c>
      <c r="W59" s="20">
        <v>0.0</v>
      </c>
      <c r="X59" s="20">
        <v>0.0</v>
      </c>
      <c r="Y59" s="20">
        <v>0.0</v>
      </c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17">
        <v>6000.0</v>
      </c>
      <c r="AF59" s="20">
        <v>0.0</v>
      </c>
      <c r="AG59" s="20">
        <v>0.0</v>
      </c>
      <c r="AH59" s="19">
        <f t="shared" si="11"/>
        <v>65441</v>
      </c>
    </row>
    <row r="60">
      <c r="A60" s="16" t="s">
        <v>58</v>
      </c>
      <c r="B60" s="27">
        <f t="shared" si="7"/>
        <v>0</v>
      </c>
      <c r="C60" s="20">
        <v>0.0</v>
      </c>
      <c r="D60" s="20">
        <v>0.0</v>
      </c>
      <c r="E60" s="20">
        <v>0.0</v>
      </c>
      <c r="F60" s="20">
        <v>0.0</v>
      </c>
      <c r="G60" s="20">
        <v>0.0</v>
      </c>
      <c r="H60" s="20">
        <v>0.0</v>
      </c>
      <c r="I60" s="20">
        <v>0.0</v>
      </c>
      <c r="J60" s="20">
        <v>0.0</v>
      </c>
      <c r="K60" s="20">
        <v>0.0</v>
      </c>
      <c r="L60" s="20">
        <v>0.0</v>
      </c>
      <c r="M60" s="20">
        <v>0.0</v>
      </c>
      <c r="N60" s="20">
        <v>0.0</v>
      </c>
      <c r="O60" s="20">
        <v>0.0</v>
      </c>
      <c r="P60" s="20">
        <v>0.0</v>
      </c>
      <c r="Q60" s="20">
        <v>0.0</v>
      </c>
      <c r="R60" s="20">
        <v>0.0</v>
      </c>
      <c r="S60" s="20">
        <v>0.0</v>
      </c>
      <c r="T60" s="20">
        <v>0.0</v>
      </c>
      <c r="U60" s="20">
        <v>0.0</v>
      </c>
      <c r="V60" s="20">
        <v>0.0</v>
      </c>
      <c r="W60" s="20">
        <v>0.0</v>
      </c>
      <c r="X60" s="20">
        <v>0.0</v>
      </c>
      <c r="Y60" s="20">
        <v>0.0</v>
      </c>
      <c r="Z60" s="20">
        <v>0.0</v>
      </c>
      <c r="AA60" s="20">
        <v>0.0</v>
      </c>
      <c r="AB60" s="20">
        <v>0.0</v>
      </c>
      <c r="AC60" s="20">
        <v>0.0</v>
      </c>
      <c r="AD60" s="20">
        <v>0.0</v>
      </c>
      <c r="AE60" s="20">
        <v>0.0</v>
      </c>
      <c r="AF60" s="20">
        <v>0.0</v>
      </c>
      <c r="AG60" s="20">
        <v>0.0</v>
      </c>
      <c r="AH60" s="19">
        <f t="shared" si="11"/>
        <v>0</v>
      </c>
    </row>
    <row r="61">
      <c r="A61" s="16" t="s">
        <v>59</v>
      </c>
      <c r="B61" s="27">
        <f t="shared" si="7"/>
        <v>0.001076661007</v>
      </c>
      <c r="C61" s="20">
        <v>0.0</v>
      </c>
      <c r="D61" s="20">
        <v>0.0</v>
      </c>
      <c r="E61" s="20">
        <v>0.0</v>
      </c>
      <c r="F61" s="20">
        <v>0.0</v>
      </c>
      <c r="G61" s="20">
        <v>0.0</v>
      </c>
      <c r="H61" s="20">
        <v>0.0</v>
      </c>
      <c r="I61" s="20">
        <v>0.0</v>
      </c>
      <c r="J61" s="20">
        <v>0.0</v>
      </c>
      <c r="K61" s="20">
        <v>0.0</v>
      </c>
      <c r="L61" s="20">
        <v>0.0</v>
      </c>
      <c r="M61" s="20">
        <v>0.0</v>
      </c>
      <c r="N61" s="20">
        <v>0.0</v>
      </c>
      <c r="O61" s="20">
        <v>0.0</v>
      </c>
      <c r="P61" s="20">
        <v>0.0</v>
      </c>
      <c r="Q61" s="20">
        <v>0.0</v>
      </c>
      <c r="R61" s="17">
        <v>41600.0</v>
      </c>
      <c r="S61" s="20">
        <v>0.0</v>
      </c>
      <c r="T61" s="20">
        <v>0.0</v>
      </c>
      <c r="U61" s="20">
        <v>0.0</v>
      </c>
      <c r="V61" s="20">
        <v>0.0</v>
      </c>
      <c r="W61" s="20">
        <v>0.0</v>
      </c>
      <c r="X61" s="20">
        <v>0.0</v>
      </c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19">
        <f t="shared" si="11"/>
        <v>41600</v>
      </c>
    </row>
    <row r="62">
      <c r="A62" s="16" t="s">
        <v>60</v>
      </c>
      <c r="B62" s="27">
        <f t="shared" si="7"/>
        <v>0</v>
      </c>
      <c r="C62" s="20">
        <v>0.0</v>
      </c>
      <c r="D62" s="20">
        <v>0.0</v>
      </c>
      <c r="E62" s="20">
        <v>0.0</v>
      </c>
      <c r="F62" s="20">
        <v>0.0</v>
      </c>
      <c r="G62" s="20">
        <v>0.0</v>
      </c>
      <c r="H62" s="20">
        <v>0.0</v>
      </c>
      <c r="I62" s="20">
        <v>0.0</v>
      </c>
      <c r="J62" s="20">
        <v>0.0</v>
      </c>
      <c r="K62" s="20">
        <v>0.0</v>
      </c>
      <c r="L62" s="20">
        <v>0.0</v>
      </c>
      <c r="M62" s="20">
        <v>0.0</v>
      </c>
      <c r="N62" s="20">
        <v>0.0</v>
      </c>
      <c r="O62" s="20">
        <v>0.0</v>
      </c>
      <c r="P62" s="20">
        <v>0.0</v>
      </c>
      <c r="Q62" s="20">
        <v>0.0</v>
      </c>
      <c r="R62" s="20">
        <v>0.0</v>
      </c>
      <c r="S62" s="20">
        <v>0.0</v>
      </c>
      <c r="T62" s="20">
        <v>0.0</v>
      </c>
      <c r="U62" s="20">
        <v>0.0</v>
      </c>
      <c r="V62" s="20">
        <v>0.0</v>
      </c>
      <c r="W62" s="20">
        <v>0.0</v>
      </c>
      <c r="X62" s="20">
        <v>0.0</v>
      </c>
      <c r="Y62" s="20">
        <v>0.0</v>
      </c>
      <c r="Z62" s="20">
        <v>0.0</v>
      </c>
      <c r="AA62" s="20">
        <v>0.0</v>
      </c>
      <c r="AB62" s="20">
        <v>0.0</v>
      </c>
      <c r="AC62" s="20">
        <v>0.0</v>
      </c>
      <c r="AD62" s="20">
        <v>0.0</v>
      </c>
      <c r="AE62" s="20">
        <v>0.0</v>
      </c>
      <c r="AF62" s="20">
        <v>0.0</v>
      </c>
      <c r="AG62" s="20">
        <v>0.0</v>
      </c>
      <c r="AH62" s="19">
        <f t="shared" si="11"/>
        <v>0</v>
      </c>
    </row>
    <row r="63">
      <c r="A63" s="16" t="s">
        <v>61</v>
      </c>
      <c r="B63" s="27">
        <f t="shared" si="7"/>
        <v>0</v>
      </c>
      <c r="C63" s="20">
        <v>0.0</v>
      </c>
      <c r="D63" s="20">
        <v>0.0</v>
      </c>
      <c r="E63" s="20">
        <v>0.0</v>
      </c>
      <c r="F63" s="20">
        <v>0.0</v>
      </c>
      <c r="G63" s="20">
        <v>0.0</v>
      </c>
      <c r="H63" s="20">
        <v>0.0</v>
      </c>
      <c r="I63" s="20">
        <v>0.0</v>
      </c>
      <c r="J63" s="20">
        <v>0.0</v>
      </c>
      <c r="K63" s="20">
        <v>0.0</v>
      </c>
      <c r="L63" s="20">
        <v>0.0</v>
      </c>
      <c r="M63" s="20">
        <v>0.0</v>
      </c>
      <c r="N63" s="20">
        <v>0.0</v>
      </c>
      <c r="O63" s="20">
        <v>0.0</v>
      </c>
      <c r="P63" s="20">
        <v>0.0</v>
      </c>
      <c r="Q63" s="20">
        <v>0.0</v>
      </c>
      <c r="R63" s="20">
        <v>0.0</v>
      </c>
      <c r="S63" s="20">
        <v>0.0</v>
      </c>
      <c r="T63" s="20">
        <v>0.0</v>
      </c>
      <c r="U63" s="20">
        <v>0.0</v>
      </c>
      <c r="V63" s="20">
        <v>0.0</v>
      </c>
      <c r="W63" s="20">
        <v>0.0</v>
      </c>
      <c r="X63" s="20">
        <v>0.0</v>
      </c>
      <c r="Y63" s="20">
        <v>0.0</v>
      </c>
      <c r="Z63" s="20">
        <v>0.0</v>
      </c>
      <c r="AA63" s="20">
        <v>0.0</v>
      </c>
      <c r="AB63" s="20">
        <v>0.0</v>
      </c>
      <c r="AC63" s="20">
        <v>0.0</v>
      </c>
      <c r="AD63" s="20">
        <v>0.0</v>
      </c>
      <c r="AE63" s="20">
        <v>0.0</v>
      </c>
      <c r="AF63" s="20">
        <v>0.0</v>
      </c>
      <c r="AG63" s="20">
        <v>0.0</v>
      </c>
      <c r="AH63" s="19">
        <f t="shared" si="11"/>
        <v>0</v>
      </c>
    </row>
    <row r="64">
      <c r="A64" s="7"/>
      <c r="B64" s="8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35" t="s">
        <v>62</v>
      </c>
      <c r="B65" s="36">
        <f t="shared" ref="B65:B76" si="14">AH65/$AH$10</f>
        <v>0.03160095817</v>
      </c>
      <c r="C65" s="37">
        <f t="shared" ref="C65:Z65" si="12">sum(C66:C75)</f>
        <v>0</v>
      </c>
      <c r="D65" s="37">
        <f t="shared" si="12"/>
        <v>0</v>
      </c>
      <c r="E65" s="37">
        <f t="shared" si="12"/>
        <v>58245</v>
      </c>
      <c r="F65" s="37">
        <f t="shared" si="12"/>
        <v>0</v>
      </c>
      <c r="G65" s="37">
        <f t="shared" si="12"/>
        <v>0</v>
      </c>
      <c r="H65" s="37">
        <f t="shared" si="12"/>
        <v>109955</v>
      </c>
      <c r="I65" s="37">
        <f t="shared" si="12"/>
        <v>0</v>
      </c>
      <c r="J65" s="37">
        <f t="shared" si="12"/>
        <v>0</v>
      </c>
      <c r="K65" s="37">
        <f t="shared" si="12"/>
        <v>73079</v>
      </c>
      <c r="L65" s="37">
        <f t="shared" si="12"/>
        <v>0</v>
      </c>
      <c r="M65" s="37">
        <f t="shared" si="12"/>
        <v>0</v>
      </c>
      <c r="N65" s="37">
        <f t="shared" si="12"/>
        <v>0</v>
      </c>
      <c r="O65" s="37">
        <f t="shared" si="12"/>
        <v>0</v>
      </c>
      <c r="P65" s="37">
        <f t="shared" si="12"/>
        <v>0</v>
      </c>
      <c r="Q65" s="37">
        <f t="shared" si="12"/>
        <v>0</v>
      </c>
      <c r="R65" s="37">
        <f t="shared" si="12"/>
        <v>0</v>
      </c>
      <c r="S65" s="37">
        <f t="shared" si="12"/>
        <v>0</v>
      </c>
      <c r="T65" s="37">
        <f t="shared" si="12"/>
        <v>0</v>
      </c>
      <c r="U65" s="37">
        <f t="shared" si="12"/>
        <v>47600</v>
      </c>
      <c r="V65" s="37">
        <f t="shared" si="12"/>
        <v>0</v>
      </c>
      <c r="W65" s="37">
        <f t="shared" si="12"/>
        <v>0</v>
      </c>
      <c r="X65" s="37">
        <f t="shared" si="12"/>
        <v>0</v>
      </c>
      <c r="Y65" s="37">
        <f t="shared" si="12"/>
        <v>0</v>
      </c>
      <c r="Z65" s="37">
        <f t="shared" si="12"/>
        <v>110828</v>
      </c>
      <c r="AA65" s="37">
        <f>SUM(AA66:AA76)</f>
        <v>121087</v>
      </c>
      <c r="AB65" s="37">
        <f t="shared" ref="AB65:AG65" si="13">sum(AB66:AB75)</f>
        <v>0</v>
      </c>
      <c r="AC65" s="37">
        <f t="shared" si="13"/>
        <v>100203</v>
      </c>
      <c r="AD65" s="37">
        <f t="shared" si="13"/>
        <v>0</v>
      </c>
      <c r="AE65" s="37">
        <f t="shared" si="13"/>
        <v>0</v>
      </c>
      <c r="AF65" s="37">
        <f t="shared" si="13"/>
        <v>0</v>
      </c>
      <c r="AG65" s="37">
        <f t="shared" si="13"/>
        <v>600000</v>
      </c>
      <c r="AH65" s="38">
        <f>SUM(AH66:AH76)</f>
        <v>1220997</v>
      </c>
    </row>
    <row r="66">
      <c r="A66" s="16" t="s">
        <v>63</v>
      </c>
      <c r="B66" s="27">
        <f t="shared" si="14"/>
        <v>0.008576536648</v>
      </c>
      <c r="C66" s="20">
        <v>0.0</v>
      </c>
      <c r="D66" s="20">
        <v>0.0</v>
      </c>
      <c r="E66" s="20">
        <v>0.0</v>
      </c>
      <c r="F66" s="20">
        <v>0.0</v>
      </c>
      <c r="G66" s="20">
        <v>0.0</v>
      </c>
      <c r="H66" s="17">
        <v>109955.0</v>
      </c>
      <c r="I66" s="20">
        <v>0.0</v>
      </c>
      <c r="J66" s="20">
        <v>0.0</v>
      </c>
      <c r="K66" s="20">
        <v>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0">
        <v>0.0</v>
      </c>
      <c r="Y66" s="20">
        <v>0.0</v>
      </c>
      <c r="Z66" s="17">
        <v>110828.0</v>
      </c>
      <c r="AA66" s="17">
        <v>110597.0</v>
      </c>
      <c r="AB66" s="20">
        <v>0.0</v>
      </c>
      <c r="AC66" s="20">
        <v>0.0</v>
      </c>
      <c r="AD66" s="20">
        <v>0.0</v>
      </c>
      <c r="AE66" s="20">
        <v>0.0</v>
      </c>
      <c r="AF66" s="20">
        <v>0.0</v>
      </c>
      <c r="AG66" s="20">
        <v>0.0</v>
      </c>
      <c r="AH66" s="19">
        <f t="shared" ref="AH66:AH76" si="15">SUM(C66:AG66)</f>
        <v>331380</v>
      </c>
    </row>
    <row r="67">
      <c r="A67" s="16" t="s">
        <v>64</v>
      </c>
      <c r="B67" s="27">
        <f t="shared" si="14"/>
        <v>0.001507454816</v>
      </c>
      <c r="C67" s="20">
        <v>0.0</v>
      </c>
      <c r="D67" s="20">
        <v>0.0</v>
      </c>
      <c r="E67" s="17">
        <v>58245.0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0.0</v>
      </c>
      <c r="M67" s="20">
        <v>0.0</v>
      </c>
      <c r="N67" s="20">
        <v>0.0</v>
      </c>
      <c r="O67" s="20">
        <v>0.0</v>
      </c>
      <c r="P67" s="20">
        <v>0.0</v>
      </c>
      <c r="Q67" s="20">
        <v>0.0</v>
      </c>
      <c r="R67" s="20">
        <v>0.0</v>
      </c>
      <c r="S67" s="20">
        <v>0.0</v>
      </c>
      <c r="T67" s="20">
        <v>0.0</v>
      </c>
      <c r="U67" s="20">
        <v>0.0</v>
      </c>
      <c r="V67" s="20">
        <v>0.0</v>
      </c>
      <c r="W67" s="20">
        <v>0.0</v>
      </c>
      <c r="X67" s="20">
        <v>0.0</v>
      </c>
      <c r="Y67" s="20">
        <v>0.0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0.0</v>
      </c>
      <c r="AF67" s="20">
        <v>0.0</v>
      </c>
      <c r="AG67" s="20">
        <v>0.0</v>
      </c>
      <c r="AH67" s="19">
        <f t="shared" si="15"/>
        <v>58245</v>
      </c>
    </row>
    <row r="68">
      <c r="A68" s="16" t="s">
        <v>65</v>
      </c>
      <c r="B68" s="27">
        <f t="shared" si="14"/>
        <v>0.001231948652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20">
        <v>0.0</v>
      </c>
      <c r="L68" s="20">
        <v>0.0</v>
      </c>
      <c r="M68" s="20">
        <v>0.0</v>
      </c>
      <c r="N68" s="20">
        <v>0.0</v>
      </c>
      <c r="O68" s="20">
        <v>0.0</v>
      </c>
      <c r="P68" s="20">
        <v>0.0</v>
      </c>
      <c r="Q68" s="20">
        <v>0.0</v>
      </c>
      <c r="R68" s="20">
        <v>0.0</v>
      </c>
      <c r="S68" s="20">
        <v>0.0</v>
      </c>
      <c r="T68" s="20">
        <v>0.0</v>
      </c>
      <c r="U68" s="17">
        <v>47600.0</v>
      </c>
      <c r="V68" s="20">
        <v>0.0</v>
      </c>
      <c r="W68" s="20">
        <v>0.0</v>
      </c>
      <c r="X68" s="20">
        <v>0.0</v>
      </c>
      <c r="Y68" s="20">
        <v>0.0</v>
      </c>
      <c r="Z68" s="20">
        <v>0.0</v>
      </c>
      <c r="AA68" s="20">
        <v>0.0</v>
      </c>
      <c r="AB68" s="20">
        <v>0.0</v>
      </c>
      <c r="AC68" s="20">
        <v>0.0</v>
      </c>
      <c r="AD68" s="20">
        <v>0.0</v>
      </c>
      <c r="AE68" s="20">
        <v>0.0</v>
      </c>
      <c r="AF68" s="20">
        <v>0.0</v>
      </c>
      <c r="AG68" s="20">
        <v>0.0</v>
      </c>
      <c r="AH68" s="19">
        <f t="shared" si="15"/>
        <v>47600</v>
      </c>
    </row>
    <row r="69">
      <c r="A69" s="16" t="s">
        <v>66</v>
      </c>
      <c r="B69" s="27">
        <f t="shared" si="14"/>
        <v>0.001891377638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f>57279+7900+7900</f>
        <v>73079</v>
      </c>
      <c r="L69" s="20">
        <v>0.0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20">
        <v>0.0</v>
      </c>
      <c r="W69" s="20">
        <v>0.0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20">
        <v>0.0</v>
      </c>
      <c r="AF69" s="20">
        <v>0.0</v>
      </c>
      <c r="AG69" s="20">
        <v>0.0</v>
      </c>
      <c r="AH69" s="19">
        <f t="shared" si="15"/>
        <v>73079</v>
      </c>
    </row>
    <row r="70">
      <c r="A70" s="16" t="s">
        <v>67</v>
      </c>
      <c r="B70" s="27">
        <f t="shared" si="14"/>
        <v>0.00259338132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20">
        <v>0.0</v>
      </c>
      <c r="AC70" s="17">
        <v>100203.0</v>
      </c>
      <c r="AD70" s="20">
        <v>0.0</v>
      </c>
      <c r="AE70" s="20">
        <v>0.0</v>
      </c>
      <c r="AF70" s="20">
        <v>0.0</v>
      </c>
      <c r="AG70" s="20">
        <v>0.0</v>
      </c>
      <c r="AH70" s="19">
        <f t="shared" si="15"/>
        <v>100203</v>
      </c>
    </row>
    <row r="71">
      <c r="A71" s="16" t="s">
        <v>68</v>
      </c>
      <c r="B71" s="27">
        <f t="shared" si="14"/>
        <v>0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0.0</v>
      </c>
      <c r="K71" s="20">
        <v>0.0</v>
      </c>
      <c r="L71" s="20">
        <v>0.0</v>
      </c>
      <c r="M71" s="20">
        <v>0.0</v>
      </c>
      <c r="N71" s="20">
        <v>0.0</v>
      </c>
      <c r="O71" s="20">
        <v>0.0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20">
        <v>0.0</v>
      </c>
      <c r="AF71" s="20">
        <v>0.0</v>
      </c>
      <c r="AG71" s="20">
        <v>0.0</v>
      </c>
      <c r="AH71" s="19">
        <f t="shared" si="15"/>
        <v>0</v>
      </c>
    </row>
    <row r="72">
      <c r="A72" s="16" t="s">
        <v>69</v>
      </c>
      <c r="B72" s="27">
        <f t="shared" si="14"/>
        <v>0</v>
      </c>
      <c r="C72" s="20">
        <v>0.0</v>
      </c>
      <c r="D72" s="20">
        <v>0.0</v>
      </c>
      <c r="E72" s="20">
        <v>0.0</v>
      </c>
      <c r="F72" s="20">
        <v>0.0</v>
      </c>
      <c r="G72" s="20">
        <v>0.0</v>
      </c>
      <c r="H72" s="20">
        <v>0.0</v>
      </c>
      <c r="I72" s="20">
        <v>0.0</v>
      </c>
      <c r="J72" s="20">
        <v>0.0</v>
      </c>
      <c r="K72" s="20">
        <v>0.0</v>
      </c>
      <c r="L72" s="20">
        <v>0.0</v>
      </c>
      <c r="M72" s="20">
        <v>0.0</v>
      </c>
      <c r="N72" s="20">
        <v>0.0</v>
      </c>
      <c r="O72" s="20">
        <v>0.0</v>
      </c>
      <c r="P72" s="20">
        <v>0.0</v>
      </c>
      <c r="Q72" s="20">
        <v>0.0</v>
      </c>
      <c r="R72" s="20">
        <v>0.0</v>
      </c>
      <c r="S72" s="20">
        <v>0.0</v>
      </c>
      <c r="T72" s="20">
        <v>0.0</v>
      </c>
      <c r="U72" s="20">
        <v>0.0</v>
      </c>
      <c r="V72" s="20">
        <v>0.0</v>
      </c>
      <c r="W72" s="20">
        <v>0.0</v>
      </c>
      <c r="X72" s="20">
        <v>0.0</v>
      </c>
      <c r="Y72" s="20">
        <v>0.0</v>
      </c>
      <c r="Z72" s="20">
        <v>0.0</v>
      </c>
      <c r="AA72" s="20">
        <v>0.0</v>
      </c>
      <c r="AB72" s="20">
        <v>0.0</v>
      </c>
      <c r="AC72" s="20">
        <v>0.0</v>
      </c>
      <c r="AD72" s="20">
        <v>0.0</v>
      </c>
      <c r="AE72" s="20">
        <v>0.0</v>
      </c>
      <c r="AF72" s="20">
        <v>0.0</v>
      </c>
      <c r="AG72" s="20">
        <v>0.0</v>
      </c>
      <c r="AH72" s="19">
        <f t="shared" si="15"/>
        <v>0</v>
      </c>
    </row>
    <row r="73">
      <c r="A73" s="16" t="s">
        <v>70</v>
      </c>
      <c r="B73" s="27">
        <f t="shared" si="14"/>
        <v>0</v>
      </c>
      <c r="C73" s="20">
        <v>0.0</v>
      </c>
      <c r="D73" s="20">
        <v>0.0</v>
      </c>
      <c r="E73" s="20">
        <v>0.0</v>
      </c>
      <c r="F73" s="20">
        <v>0.0</v>
      </c>
      <c r="G73" s="20">
        <v>0.0</v>
      </c>
      <c r="H73" s="20">
        <v>0.0</v>
      </c>
      <c r="I73" s="20">
        <v>0.0</v>
      </c>
      <c r="J73" s="20">
        <v>0.0</v>
      </c>
      <c r="K73" s="20">
        <v>0.0</v>
      </c>
      <c r="L73" s="20">
        <v>0.0</v>
      </c>
      <c r="M73" s="20">
        <v>0.0</v>
      </c>
      <c r="N73" s="20">
        <v>0.0</v>
      </c>
      <c r="O73" s="20">
        <v>0.0</v>
      </c>
      <c r="P73" s="20">
        <v>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  <c r="V73" s="20">
        <v>0.0</v>
      </c>
      <c r="W73" s="20">
        <v>0.0</v>
      </c>
      <c r="X73" s="20">
        <v>0.0</v>
      </c>
      <c r="Y73" s="20">
        <v>0.0</v>
      </c>
      <c r="Z73" s="20">
        <v>0.0</v>
      </c>
      <c r="AA73" s="20">
        <v>0.0</v>
      </c>
      <c r="AB73" s="20">
        <v>0.0</v>
      </c>
      <c r="AC73" s="20">
        <v>0.0</v>
      </c>
      <c r="AD73" s="20">
        <v>0.0</v>
      </c>
      <c r="AE73" s="20">
        <v>0.0</v>
      </c>
      <c r="AF73" s="20">
        <v>0.0</v>
      </c>
      <c r="AG73" s="20">
        <v>0.0</v>
      </c>
      <c r="AH73" s="19">
        <f t="shared" si="15"/>
        <v>0</v>
      </c>
    </row>
    <row r="74">
      <c r="A74" s="16" t="s">
        <v>71</v>
      </c>
      <c r="B74" s="27">
        <f t="shared" si="14"/>
        <v>0</v>
      </c>
      <c r="C74" s="20">
        <v>0.0</v>
      </c>
      <c r="D74" s="20">
        <v>0.0</v>
      </c>
      <c r="E74" s="20">
        <v>0.0</v>
      </c>
      <c r="F74" s="20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0">
        <v>0.0</v>
      </c>
      <c r="M74" s="20">
        <v>0.0</v>
      </c>
      <c r="N74" s="20">
        <v>0.0</v>
      </c>
      <c r="O74" s="20">
        <v>0.0</v>
      </c>
      <c r="P74" s="20">
        <v>0.0</v>
      </c>
      <c r="Q74" s="20">
        <v>0.0</v>
      </c>
      <c r="R74" s="20">
        <v>0.0</v>
      </c>
      <c r="S74" s="20">
        <v>0.0</v>
      </c>
      <c r="T74" s="20">
        <v>0.0</v>
      </c>
      <c r="U74" s="20">
        <v>0.0</v>
      </c>
      <c r="V74" s="20">
        <v>0.0</v>
      </c>
      <c r="W74" s="20">
        <v>0.0</v>
      </c>
      <c r="X74" s="20">
        <v>0.0</v>
      </c>
      <c r="Y74" s="20">
        <v>0.0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20">
        <v>0.0</v>
      </c>
      <c r="AF74" s="20">
        <v>0.0</v>
      </c>
      <c r="AG74" s="20">
        <v>0.0</v>
      </c>
      <c r="AH74" s="19">
        <f t="shared" si="15"/>
        <v>0</v>
      </c>
    </row>
    <row r="75">
      <c r="A75" s="7" t="s">
        <v>72</v>
      </c>
      <c r="B75" s="27">
        <f t="shared" si="14"/>
        <v>0.01552876453</v>
      </c>
      <c r="C75" s="20">
        <v>0.0</v>
      </c>
      <c r="D75" s="20">
        <v>0.0</v>
      </c>
      <c r="E75" s="20">
        <v>0.0</v>
      </c>
      <c r="F75" s="20">
        <v>0.0</v>
      </c>
      <c r="G75" s="20">
        <v>0.0</v>
      </c>
      <c r="H75" s="20">
        <v>0.0</v>
      </c>
      <c r="I75" s="20">
        <v>0.0</v>
      </c>
      <c r="J75" s="20">
        <v>0.0</v>
      </c>
      <c r="K75" s="20">
        <v>0.0</v>
      </c>
      <c r="L75" s="20">
        <v>0.0</v>
      </c>
      <c r="M75" s="20">
        <v>0.0</v>
      </c>
      <c r="N75" s="20">
        <v>0.0</v>
      </c>
      <c r="O75" s="20">
        <v>0.0</v>
      </c>
      <c r="P75" s="20">
        <v>0.0</v>
      </c>
      <c r="Q75" s="20">
        <v>0.0</v>
      </c>
      <c r="R75" s="20">
        <v>0.0</v>
      </c>
      <c r="S75" s="20">
        <v>0.0</v>
      </c>
      <c r="T75" s="20">
        <v>0.0</v>
      </c>
      <c r="U75" s="20">
        <v>0.0</v>
      </c>
      <c r="V75" s="20">
        <v>0.0</v>
      </c>
      <c r="W75" s="20">
        <v>0.0</v>
      </c>
      <c r="X75" s="20">
        <v>0.0</v>
      </c>
      <c r="Y75" s="20">
        <v>0.0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20">
        <v>0.0</v>
      </c>
      <c r="AF75" s="20">
        <v>0.0</v>
      </c>
      <c r="AG75" s="17">
        <v>600000.0</v>
      </c>
      <c r="AH75" s="19">
        <f t="shared" si="15"/>
        <v>600000</v>
      </c>
    </row>
    <row r="76">
      <c r="A76" s="39" t="s">
        <v>73</v>
      </c>
      <c r="B76" s="27">
        <f t="shared" si="14"/>
        <v>0.0002714945665</v>
      </c>
      <c r="C76" s="20">
        <v>0.0</v>
      </c>
      <c r="D76" s="20">
        <v>0.0</v>
      </c>
      <c r="E76" s="20">
        <v>0.0</v>
      </c>
      <c r="F76" s="20">
        <v>0.0</v>
      </c>
      <c r="G76" s="20">
        <v>0.0</v>
      </c>
      <c r="H76" s="20">
        <v>0.0</v>
      </c>
      <c r="I76" s="20">
        <v>0.0</v>
      </c>
      <c r="J76" s="20">
        <v>0.0</v>
      </c>
      <c r="K76" s="20">
        <v>0.0</v>
      </c>
      <c r="L76" s="20">
        <v>0.0</v>
      </c>
      <c r="M76" s="20">
        <v>0.0</v>
      </c>
      <c r="N76" s="20">
        <v>0.0</v>
      </c>
      <c r="O76" s="20">
        <v>0.0</v>
      </c>
      <c r="P76" s="20">
        <v>0.0</v>
      </c>
      <c r="Q76" s="20">
        <v>0.0</v>
      </c>
      <c r="R76" s="20">
        <v>0.0</v>
      </c>
      <c r="S76" s="20">
        <v>0.0</v>
      </c>
      <c r="T76" s="20">
        <v>0.0</v>
      </c>
      <c r="U76" s="20">
        <v>0.0</v>
      </c>
      <c r="V76" s="20">
        <v>0.0</v>
      </c>
      <c r="W76" s="20">
        <v>0.0</v>
      </c>
      <c r="X76" s="20">
        <v>0.0</v>
      </c>
      <c r="Y76" s="20">
        <v>0.0</v>
      </c>
      <c r="Z76" s="20">
        <v>0.0</v>
      </c>
      <c r="AA76" s="17">
        <v>10490.0</v>
      </c>
      <c r="AB76" s="20">
        <v>0.0</v>
      </c>
      <c r="AC76" s="20">
        <v>0.0</v>
      </c>
      <c r="AD76" s="20">
        <v>0.0</v>
      </c>
      <c r="AE76" s="20">
        <v>0.0</v>
      </c>
      <c r="AF76" s="20">
        <v>0.0</v>
      </c>
      <c r="AG76" s="20">
        <v>0.0</v>
      </c>
      <c r="AH76" s="19">
        <f t="shared" si="15"/>
        <v>10490</v>
      </c>
    </row>
    <row r="77">
      <c r="A77" s="7"/>
      <c r="B77" s="8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40" t="s">
        <v>74</v>
      </c>
      <c r="B78" s="32">
        <f t="shared" ref="B78:B82" si="17">AH78/$AH$10</f>
        <v>0.1001814691</v>
      </c>
      <c r="C78" s="41">
        <f>sum(C79:C81)</f>
        <v>0</v>
      </c>
      <c r="D78" s="41">
        <f t="shared" ref="D78:AG78" si="16">SUM(D79:D82)</f>
        <v>109171</v>
      </c>
      <c r="E78" s="41">
        <f t="shared" si="16"/>
        <v>0</v>
      </c>
      <c r="F78" s="41">
        <f t="shared" si="16"/>
        <v>0</v>
      </c>
      <c r="G78" s="41">
        <f t="shared" si="16"/>
        <v>0</v>
      </c>
      <c r="H78" s="41">
        <f t="shared" si="16"/>
        <v>998000</v>
      </c>
      <c r="I78" s="41">
        <f t="shared" si="16"/>
        <v>0</v>
      </c>
      <c r="J78" s="41">
        <f t="shared" si="16"/>
        <v>123609</v>
      </c>
      <c r="K78" s="41">
        <f t="shared" si="16"/>
        <v>0</v>
      </c>
      <c r="L78" s="41">
        <f t="shared" si="16"/>
        <v>381500</v>
      </c>
      <c r="M78" s="41">
        <f t="shared" si="16"/>
        <v>0</v>
      </c>
      <c r="N78" s="41">
        <f t="shared" si="16"/>
        <v>0</v>
      </c>
      <c r="O78" s="41">
        <f t="shared" si="16"/>
        <v>0</v>
      </c>
      <c r="P78" s="41">
        <f t="shared" si="16"/>
        <v>0</v>
      </c>
      <c r="Q78" s="41">
        <f t="shared" si="16"/>
        <v>497500</v>
      </c>
      <c r="R78" s="41">
        <f t="shared" si="16"/>
        <v>264106</v>
      </c>
      <c r="S78" s="41">
        <f t="shared" si="16"/>
        <v>0</v>
      </c>
      <c r="T78" s="41">
        <f t="shared" si="16"/>
        <v>0</v>
      </c>
      <c r="U78" s="41">
        <f t="shared" si="16"/>
        <v>0</v>
      </c>
      <c r="V78" s="41">
        <f t="shared" si="16"/>
        <v>0</v>
      </c>
      <c r="W78" s="41">
        <f t="shared" si="16"/>
        <v>0</v>
      </c>
      <c r="X78" s="41">
        <f t="shared" si="16"/>
        <v>79147</v>
      </c>
      <c r="Y78" s="41">
        <f t="shared" si="16"/>
        <v>257776</v>
      </c>
      <c r="Z78" s="41">
        <f t="shared" si="16"/>
        <v>0</v>
      </c>
      <c r="AA78" s="41">
        <f t="shared" si="16"/>
        <v>0</v>
      </c>
      <c r="AB78" s="41">
        <f t="shared" si="16"/>
        <v>0</v>
      </c>
      <c r="AC78" s="41">
        <f t="shared" si="16"/>
        <v>0</v>
      </c>
      <c r="AD78" s="41">
        <f t="shared" si="16"/>
        <v>110000</v>
      </c>
      <c r="AE78" s="41">
        <f t="shared" si="16"/>
        <v>0</v>
      </c>
      <c r="AF78" s="41">
        <f t="shared" si="16"/>
        <v>1050000</v>
      </c>
      <c r="AG78" s="41">
        <f t="shared" si="16"/>
        <v>0</v>
      </c>
      <c r="AH78" s="34">
        <f>sum(AH79:AH82)</f>
        <v>3870809</v>
      </c>
    </row>
    <row r="79">
      <c r="A79" s="16" t="s">
        <v>75</v>
      </c>
      <c r="B79" s="27">
        <f t="shared" si="17"/>
        <v>0</v>
      </c>
      <c r="C79" s="20">
        <v>0.0</v>
      </c>
      <c r="D79" s="20">
        <v>0.0</v>
      </c>
      <c r="E79" s="20">
        <v>0.0</v>
      </c>
      <c r="F79" s="20">
        <v>0.0</v>
      </c>
      <c r="G79" s="20">
        <v>0.0</v>
      </c>
      <c r="H79" s="20">
        <v>0.0</v>
      </c>
      <c r="I79" s="20">
        <v>0.0</v>
      </c>
      <c r="J79" s="20">
        <v>0.0</v>
      </c>
      <c r="K79" s="20">
        <v>0.0</v>
      </c>
      <c r="L79" s="20">
        <v>0.0</v>
      </c>
      <c r="M79" s="20">
        <v>0.0</v>
      </c>
      <c r="N79" s="20">
        <v>0.0</v>
      </c>
      <c r="O79" s="20">
        <v>0.0</v>
      </c>
      <c r="P79" s="20">
        <v>0.0</v>
      </c>
      <c r="Q79" s="20">
        <v>0.0</v>
      </c>
      <c r="R79" s="20">
        <v>0.0</v>
      </c>
      <c r="S79" s="20">
        <v>0.0</v>
      </c>
      <c r="T79" s="20">
        <v>0.0</v>
      </c>
      <c r="U79" s="20">
        <v>0.0</v>
      </c>
      <c r="V79" s="20">
        <v>0.0</v>
      </c>
      <c r="W79" s="20">
        <v>0.0</v>
      </c>
      <c r="X79" s="20">
        <v>0.0</v>
      </c>
      <c r="Y79" s="20">
        <v>0.0</v>
      </c>
      <c r="Z79" s="20">
        <v>0.0</v>
      </c>
      <c r="AA79" s="20">
        <v>0.0</v>
      </c>
      <c r="AB79" s="20">
        <v>0.0</v>
      </c>
      <c r="AC79" s="20">
        <v>0.0</v>
      </c>
      <c r="AD79" s="20">
        <v>0.0</v>
      </c>
      <c r="AE79" s="20">
        <v>0.0</v>
      </c>
      <c r="AF79" s="20">
        <v>0.0</v>
      </c>
      <c r="AG79" s="20">
        <v>0.0</v>
      </c>
      <c r="AH79" s="19">
        <f t="shared" ref="AH79:AH82" si="18">SUM(C79:AG79)</f>
        <v>0</v>
      </c>
    </row>
    <row r="80">
      <c r="A80" s="16" t="s">
        <v>76</v>
      </c>
      <c r="B80" s="27">
        <f t="shared" si="17"/>
        <v>0</v>
      </c>
      <c r="C80" s="20">
        <v>0.0</v>
      </c>
      <c r="D80" s="20">
        <v>0.0</v>
      </c>
      <c r="E80" s="20">
        <v>0.0</v>
      </c>
      <c r="F80" s="20">
        <v>0.0</v>
      </c>
      <c r="G80" s="20">
        <v>0.0</v>
      </c>
      <c r="H80" s="20">
        <v>0.0</v>
      </c>
      <c r="I80" s="20">
        <v>0.0</v>
      </c>
      <c r="J80" s="20">
        <v>0.0</v>
      </c>
      <c r="K80" s="20">
        <v>0.0</v>
      </c>
      <c r="L80" s="20">
        <v>0.0</v>
      </c>
      <c r="M80" s="20">
        <v>0.0</v>
      </c>
      <c r="N80" s="20">
        <v>0.0</v>
      </c>
      <c r="O80" s="20">
        <v>0.0</v>
      </c>
      <c r="P80" s="20">
        <v>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  <c r="V80" s="20">
        <v>0.0</v>
      </c>
      <c r="W80" s="20">
        <v>0.0</v>
      </c>
      <c r="X80" s="20">
        <v>0.0</v>
      </c>
      <c r="Y80" s="20">
        <v>0.0</v>
      </c>
      <c r="Z80" s="20">
        <v>0.0</v>
      </c>
      <c r="AA80" s="20">
        <v>0.0</v>
      </c>
      <c r="AB80" s="20">
        <v>0.0</v>
      </c>
      <c r="AC80" s="20">
        <v>0.0</v>
      </c>
      <c r="AD80" s="20">
        <v>0.0</v>
      </c>
      <c r="AE80" s="20">
        <v>0.0</v>
      </c>
      <c r="AF80" s="20">
        <v>0.0</v>
      </c>
      <c r="AG80" s="20">
        <v>0.0</v>
      </c>
      <c r="AH80" s="19">
        <f t="shared" si="18"/>
        <v>0</v>
      </c>
    </row>
    <row r="81">
      <c r="A81" s="16" t="s">
        <v>77</v>
      </c>
      <c r="B81" s="27">
        <f t="shared" si="17"/>
        <v>0</v>
      </c>
      <c r="C81" s="20">
        <v>0.0</v>
      </c>
      <c r="D81" s="20">
        <v>0.0</v>
      </c>
      <c r="E81" s="20">
        <v>0.0</v>
      </c>
      <c r="F81" s="20">
        <v>0.0</v>
      </c>
      <c r="G81" s="20">
        <v>0.0</v>
      </c>
      <c r="H81" s="20">
        <v>0.0</v>
      </c>
      <c r="I81" s="20">
        <v>0.0</v>
      </c>
      <c r="J81" s="20">
        <v>0.0</v>
      </c>
      <c r="K81" s="20">
        <v>0.0</v>
      </c>
      <c r="L81" s="20">
        <v>0.0</v>
      </c>
      <c r="M81" s="20">
        <v>0.0</v>
      </c>
      <c r="N81" s="20">
        <v>0.0</v>
      </c>
      <c r="O81" s="20">
        <v>0.0</v>
      </c>
      <c r="P81" s="20">
        <v>0.0</v>
      </c>
      <c r="Q81" s="20">
        <v>0.0</v>
      </c>
      <c r="R81" s="20">
        <v>0.0</v>
      </c>
      <c r="S81" s="20">
        <v>0.0</v>
      </c>
      <c r="T81" s="20">
        <v>0.0</v>
      </c>
      <c r="U81" s="20">
        <v>0.0</v>
      </c>
      <c r="V81" s="20">
        <v>0.0</v>
      </c>
      <c r="W81" s="20">
        <v>0.0</v>
      </c>
      <c r="X81" s="20">
        <v>0.0</v>
      </c>
      <c r="Y81" s="20">
        <v>0.0</v>
      </c>
      <c r="Z81" s="20">
        <v>0.0</v>
      </c>
      <c r="AA81" s="20">
        <v>0.0</v>
      </c>
      <c r="AB81" s="20">
        <v>0.0</v>
      </c>
      <c r="AC81" s="20">
        <v>0.0</v>
      </c>
      <c r="AD81" s="20">
        <v>0.0</v>
      </c>
      <c r="AE81" s="20">
        <v>0.0</v>
      </c>
      <c r="AF81" s="20">
        <v>0.0</v>
      </c>
      <c r="AG81" s="20">
        <v>0.0</v>
      </c>
      <c r="AH81" s="19">
        <f t="shared" si="18"/>
        <v>0</v>
      </c>
    </row>
    <row r="82">
      <c r="A82" s="39" t="s">
        <v>78</v>
      </c>
      <c r="B82" s="27">
        <f t="shared" si="17"/>
        <v>0.1001814691</v>
      </c>
      <c r="C82" s="20">
        <v>0.0</v>
      </c>
      <c r="D82" s="17">
        <v>109171.0</v>
      </c>
      <c r="E82" s="20">
        <v>0.0</v>
      </c>
      <c r="F82" s="20">
        <v>0.0</v>
      </c>
      <c r="G82" s="20">
        <v>0.0</v>
      </c>
      <c r="H82" s="17">
        <v>998000.0</v>
      </c>
      <c r="I82" s="20">
        <v>0.0</v>
      </c>
      <c r="J82" s="17">
        <v>123609.0</v>
      </c>
      <c r="K82" s="20">
        <v>0.0</v>
      </c>
      <c r="L82" s="17">
        <v>381500.0</v>
      </c>
      <c r="M82" s="20">
        <v>0.0</v>
      </c>
      <c r="N82" s="20">
        <v>0.0</v>
      </c>
      <c r="O82" s="20">
        <v>0.0</v>
      </c>
      <c r="P82" s="20">
        <v>0.0</v>
      </c>
      <c r="Q82" s="17">
        <v>497500.0</v>
      </c>
      <c r="R82" s="20">
        <f>247306+16800</f>
        <v>264106</v>
      </c>
      <c r="S82" s="20">
        <v>0.0</v>
      </c>
      <c r="T82" s="20">
        <v>0.0</v>
      </c>
      <c r="U82" s="20">
        <v>0.0</v>
      </c>
      <c r="V82" s="20">
        <v>0.0</v>
      </c>
      <c r="W82" s="20">
        <v>0.0</v>
      </c>
      <c r="X82" s="17">
        <v>79147.0</v>
      </c>
      <c r="Y82" s="17">
        <v>257776.0</v>
      </c>
      <c r="Z82" s="20">
        <v>0.0</v>
      </c>
      <c r="AA82" s="20">
        <v>0.0</v>
      </c>
      <c r="AB82" s="20">
        <v>0.0</v>
      </c>
      <c r="AC82" s="20">
        <v>0.0</v>
      </c>
      <c r="AD82" s="17">
        <v>110000.0</v>
      </c>
      <c r="AE82" s="20">
        <v>0.0</v>
      </c>
      <c r="AF82" s="17">
        <v>1050000.0</v>
      </c>
      <c r="AG82" s="20">
        <v>0.0</v>
      </c>
      <c r="AH82" s="19">
        <f t="shared" si="18"/>
        <v>3870809</v>
      </c>
    </row>
    <row r="83">
      <c r="A83" s="39"/>
      <c r="B83" s="27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42" t="s">
        <v>79</v>
      </c>
      <c r="B84" s="43">
        <f t="shared" ref="B84:B88" si="20">AH84/$AH$10</f>
        <v>0.1169299664</v>
      </c>
      <c r="C84" s="44">
        <f t="shared" ref="C84:AH84" si="19">sum(C85:C88)</f>
        <v>560784</v>
      </c>
      <c r="D84" s="44">
        <f t="shared" si="19"/>
        <v>0</v>
      </c>
      <c r="E84" s="44">
        <f t="shared" si="19"/>
        <v>0</v>
      </c>
      <c r="F84" s="44">
        <f t="shared" si="19"/>
        <v>394889</v>
      </c>
      <c r="G84" s="44">
        <f t="shared" si="19"/>
        <v>0</v>
      </c>
      <c r="H84" s="44">
        <f t="shared" si="19"/>
        <v>0</v>
      </c>
      <c r="I84" s="44">
        <f t="shared" si="19"/>
        <v>0</v>
      </c>
      <c r="J84" s="44">
        <f t="shared" si="19"/>
        <v>642190</v>
      </c>
      <c r="K84" s="44">
        <f t="shared" si="19"/>
        <v>0</v>
      </c>
      <c r="L84" s="44">
        <f t="shared" si="19"/>
        <v>0</v>
      </c>
      <c r="M84" s="44">
        <f t="shared" si="19"/>
        <v>508610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9080</v>
      </c>
      <c r="R84" s="44">
        <f t="shared" si="19"/>
        <v>431772</v>
      </c>
      <c r="S84" s="44">
        <f t="shared" si="19"/>
        <v>0</v>
      </c>
      <c r="T84" s="44">
        <f t="shared" si="19"/>
        <v>525379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19"/>
        <v>547795</v>
      </c>
      <c r="Y84" s="44">
        <f t="shared" si="19"/>
        <v>0</v>
      </c>
      <c r="Z84" s="44">
        <f t="shared" si="19"/>
        <v>0</v>
      </c>
      <c r="AA84" s="44">
        <f t="shared" si="19"/>
        <v>382322</v>
      </c>
      <c r="AB84" s="44">
        <f t="shared" si="19"/>
        <v>0</v>
      </c>
      <c r="AC84" s="44">
        <f t="shared" si="19"/>
        <v>13975</v>
      </c>
      <c r="AD84" s="44">
        <f t="shared" si="19"/>
        <v>0</v>
      </c>
      <c r="AE84" s="44">
        <f t="shared" si="19"/>
        <v>493625</v>
      </c>
      <c r="AF84" s="44">
        <f t="shared" si="19"/>
        <v>0</v>
      </c>
      <c r="AG84" s="44">
        <f t="shared" si="19"/>
        <v>7516</v>
      </c>
      <c r="AH84" s="45">
        <f t="shared" si="19"/>
        <v>4517937</v>
      </c>
    </row>
    <row r="85">
      <c r="A85" s="16" t="s">
        <v>80</v>
      </c>
      <c r="B85" s="27">
        <f t="shared" si="20"/>
        <v>0.06878168612</v>
      </c>
      <c r="C85" s="17">
        <v>560784.0</v>
      </c>
      <c r="D85" s="20">
        <v>0.0</v>
      </c>
      <c r="E85" s="20">
        <v>0.0</v>
      </c>
      <c r="F85" s="20">
        <v>0.0</v>
      </c>
      <c r="G85" s="20">
        <v>0.0</v>
      </c>
      <c r="H85" s="20">
        <v>0.0</v>
      </c>
      <c r="I85" s="20">
        <v>0.0</v>
      </c>
      <c r="J85" s="17">
        <v>642190.0</v>
      </c>
      <c r="K85" s="20">
        <v>0.0</v>
      </c>
      <c r="L85" s="20">
        <v>0.0</v>
      </c>
      <c r="M85" s="20">
        <v>0.0</v>
      </c>
      <c r="N85" s="20">
        <v>0.0</v>
      </c>
      <c r="O85" s="20">
        <v>0.0</v>
      </c>
      <c r="P85" s="20">
        <v>0.0</v>
      </c>
      <c r="Q85" s="20">
        <v>0.0</v>
      </c>
      <c r="R85" s="17">
        <v>427978.0</v>
      </c>
      <c r="S85" s="20">
        <v>0.0</v>
      </c>
      <c r="T85" s="20">
        <v>0.0</v>
      </c>
      <c r="U85" s="20">
        <v>0.0</v>
      </c>
      <c r="V85" s="20">
        <v>0.0</v>
      </c>
      <c r="W85" s="20">
        <v>0.0</v>
      </c>
      <c r="X85" s="17">
        <v>545199.0</v>
      </c>
      <c r="Y85" s="20">
        <v>0.0</v>
      </c>
      <c r="Z85" s="20">
        <v>0.0</v>
      </c>
      <c r="AA85" s="20">
        <v>0.0</v>
      </c>
      <c r="AB85" s="20">
        <v>0.0</v>
      </c>
      <c r="AC85" s="20">
        <v>0.0</v>
      </c>
      <c r="AD85" s="20">
        <v>0.0</v>
      </c>
      <c r="AE85" s="17">
        <v>481434.0</v>
      </c>
      <c r="AF85" s="20">
        <v>0.0</v>
      </c>
      <c r="AG85" s="20">
        <v>0.0</v>
      </c>
      <c r="AH85" s="19">
        <f t="shared" ref="AH85:AH88" si="21">SUM(C85:AG85)</f>
        <v>2657585</v>
      </c>
    </row>
    <row r="86">
      <c r="A86" s="16" t="s">
        <v>81</v>
      </c>
      <c r="B86" s="27">
        <f t="shared" si="20"/>
        <v>0</v>
      </c>
      <c r="C86" s="20">
        <v>0.0</v>
      </c>
      <c r="D86" s="20">
        <v>0.0</v>
      </c>
      <c r="E86" s="20">
        <v>0.0</v>
      </c>
      <c r="F86" s="20">
        <v>0.0</v>
      </c>
      <c r="G86" s="20">
        <v>0.0</v>
      </c>
      <c r="H86" s="20">
        <v>0.0</v>
      </c>
      <c r="I86" s="20">
        <v>0.0</v>
      </c>
      <c r="J86" s="20">
        <v>0.0</v>
      </c>
      <c r="K86" s="20">
        <v>0.0</v>
      </c>
      <c r="L86" s="20">
        <v>0.0</v>
      </c>
      <c r="M86" s="20">
        <v>0.0</v>
      </c>
      <c r="N86" s="20">
        <v>0.0</v>
      </c>
      <c r="O86" s="20">
        <v>0.0</v>
      </c>
      <c r="P86" s="20">
        <v>0.0</v>
      </c>
      <c r="Q86" s="17">
        <v>0.0</v>
      </c>
      <c r="R86" s="20">
        <v>0.0</v>
      </c>
      <c r="S86" s="20">
        <v>0.0</v>
      </c>
      <c r="T86" s="20">
        <v>0.0</v>
      </c>
      <c r="U86" s="20">
        <v>0.0</v>
      </c>
      <c r="V86" s="20">
        <v>0.0</v>
      </c>
      <c r="W86" s="20">
        <v>0.0</v>
      </c>
      <c r="X86" s="20">
        <v>0.0</v>
      </c>
      <c r="Y86" s="20">
        <v>0.0</v>
      </c>
      <c r="Z86" s="20">
        <v>0.0</v>
      </c>
      <c r="AA86" s="20">
        <v>0.0</v>
      </c>
      <c r="AB86" s="20">
        <v>0.0</v>
      </c>
      <c r="AC86" s="20">
        <v>0.0</v>
      </c>
      <c r="AD86" s="20">
        <v>0.0</v>
      </c>
      <c r="AE86" s="20">
        <v>0.0</v>
      </c>
      <c r="AF86" s="20">
        <v>0.0</v>
      </c>
      <c r="AG86" s="20">
        <v>0.0</v>
      </c>
      <c r="AH86" s="19">
        <f t="shared" si="21"/>
        <v>0</v>
      </c>
    </row>
    <row r="87">
      <c r="A87" s="16" t="s">
        <v>82</v>
      </c>
      <c r="B87" s="27">
        <f t="shared" si="20"/>
        <v>0.00127211639</v>
      </c>
      <c r="C87" s="20">
        <v>0.0</v>
      </c>
      <c r="D87" s="20">
        <v>0.0</v>
      </c>
      <c r="E87" s="20">
        <v>0.0</v>
      </c>
      <c r="F87" s="20">
        <v>0.0</v>
      </c>
      <c r="G87" s="20">
        <v>0.0</v>
      </c>
      <c r="H87" s="20">
        <v>0.0</v>
      </c>
      <c r="I87" s="20">
        <v>0.0</v>
      </c>
      <c r="J87" s="20">
        <v>0.0</v>
      </c>
      <c r="K87" s="20">
        <v>0.0</v>
      </c>
      <c r="L87" s="20">
        <v>0.0</v>
      </c>
      <c r="M87" s="20">
        <v>0.0</v>
      </c>
      <c r="N87" s="20">
        <v>0.0</v>
      </c>
      <c r="O87" s="20">
        <v>0.0</v>
      </c>
      <c r="P87" s="20">
        <v>0.0</v>
      </c>
      <c r="Q87" s="17">
        <v>9080.0</v>
      </c>
      <c r="R87" s="17">
        <v>3794.0</v>
      </c>
      <c r="S87" s="20">
        <v>0.0</v>
      </c>
      <c r="T87" s="20">
        <v>0.0</v>
      </c>
      <c r="U87" s="20">
        <v>0.0</v>
      </c>
      <c r="V87" s="20">
        <v>0.0</v>
      </c>
      <c r="W87" s="20">
        <v>0.0</v>
      </c>
      <c r="X87" s="17">
        <v>2596.0</v>
      </c>
      <c r="Y87" s="20">
        <v>0.0</v>
      </c>
      <c r="Z87" s="20">
        <v>0.0</v>
      </c>
      <c r="AA87" s="20">
        <v>0.0</v>
      </c>
      <c r="AB87" s="20">
        <v>0.0</v>
      </c>
      <c r="AC87" s="20">
        <f>7881+6094</f>
        <v>13975</v>
      </c>
      <c r="AD87" s="20">
        <v>0.0</v>
      </c>
      <c r="AE87" s="20">
        <f>8596+3595</f>
        <v>12191</v>
      </c>
      <c r="AF87" s="20">
        <v>0.0</v>
      </c>
      <c r="AG87" s="17">
        <v>7516.0</v>
      </c>
      <c r="AH87" s="19">
        <f t="shared" si="21"/>
        <v>49152</v>
      </c>
    </row>
    <row r="88">
      <c r="A88" s="16" t="s">
        <v>83</v>
      </c>
      <c r="B88" s="27">
        <f t="shared" si="20"/>
        <v>0.04687616385</v>
      </c>
      <c r="C88" s="20">
        <v>0.0</v>
      </c>
      <c r="D88" s="20">
        <v>0.0</v>
      </c>
      <c r="E88" s="20">
        <v>0.0</v>
      </c>
      <c r="F88" s="17">
        <v>394889.0</v>
      </c>
      <c r="G88" s="20">
        <v>0.0</v>
      </c>
      <c r="H88" s="20">
        <v>0.0</v>
      </c>
      <c r="I88" s="20">
        <v>0.0</v>
      </c>
      <c r="J88" s="20">
        <v>0.0</v>
      </c>
      <c r="K88" s="20">
        <v>0.0</v>
      </c>
      <c r="L88" s="20">
        <v>0.0</v>
      </c>
      <c r="M88" s="17">
        <v>508610.0</v>
      </c>
      <c r="N88" s="20">
        <v>0.0</v>
      </c>
      <c r="O88" s="20">
        <v>0.0</v>
      </c>
      <c r="P88" s="20">
        <v>0.0</v>
      </c>
      <c r="Q88" s="20">
        <v>0.0</v>
      </c>
      <c r="R88" s="20">
        <v>0.0</v>
      </c>
      <c r="S88" s="20">
        <v>0.0</v>
      </c>
      <c r="T88" s="17">
        <v>525379.0</v>
      </c>
      <c r="U88" s="20">
        <v>0.0</v>
      </c>
      <c r="V88" s="20">
        <v>0.0</v>
      </c>
      <c r="W88" s="20">
        <v>0.0</v>
      </c>
      <c r="X88" s="20">
        <v>0.0</v>
      </c>
      <c r="Y88" s="20">
        <v>0.0</v>
      </c>
      <c r="Z88" s="20">
        <v>0.0</v>
      </c>
      <c r="AA88" s="17">
        <v>382322.0</v>
      </c>
      <c r="AB88" s="20">
        <v>0.0</v>
      </c>
      <c r="AC88" s="20">
        <v>0.0</v>
      </c>
      <c r="AD88" s="20">
        <v>0.0</v>
      </c>
      <c r="AE88" s="20">
        <v>0.0</v>
      </c>
      <c r="AF88" s="20">
        <v>0.0</v>
      </c>
      <c r="AG88" s="20">
        <v>0.0</v>
      </c>
      <c r="AH88" s="19">
        <f t="shared" si="21"/>
        <v>1811200</v>
      </c>
    </row>
    <row r="89">
      <c r="A89" s="7"/>
      <c r="B89" s="8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47" t="s">
        <v>84</v>
      </c>
      <c r="B90" s="48">
        <f t="shared" ref="B90:B99" si="23">AH90/$AH$10</f>
        <v>0.2923234277</v>
      </c>
      <c r="C90" s="49">
        <f t="shared" ref="C90:AG90" si="22">sum(C91:C99)</f>
        <v>115650</v>
      </c>
      <c r="D90" s="49">
        <f t="shared" si="22"/>
        <v>0</v>
      </c>
      <c r="E90" s="49">
        <f t="shared" si="22"/>
        <v>20000</v>
      </c>
      <c r="F90" s="49">
        <f t="shared" si="22"/>
        <v>0</v>
      </c>
      <c r="G90" s="49">
        <f t="shared" si="22"/>
        <v>0</v>
      </c>
      <c r="H90" s="49">
        <f t="shared" si="22"/>
        <v>221732</v>
      </c>
      <c r="I90" s="49">
        <f t="shared" si="22"/>
        <v>0</v>
      </c>
      <c r="J90" s="49">
        <f t="shared" si="22"/>
        <v>350000</v>
      </c>
      <c r="K90" s="49">
        <f t="shared" si="22"/>
        <v>0</v>
      </c>
      <c r="L90" s="49">
        <f t="shared" si="22"/>
        <v>95000</v>
      </c>
      <c r="M90" s="49">
        <f t="shared" si="22"/>
        <v>0</v>
      </c>
      <c r="N90" s="49">
        <f t="shared" si="22"/>
        <v>0</v>
      </c>
      <c r="O90" s="49">
        <f t="shared" si="22"/>
        <v>1873879</v>
      </c>
      <c r="P90" s="49">
        <f t="shared" si="22"/>
        <v>0</v>
      </c>
      <c r="Q90" s="49">
        <f t="shared" si="22"/>
        <v>1860650</v>
      </c>
      <c r="R90" s="49">
        <f t="shared" si="22"/>
        <v>0</v>
      </c>
      <c r="S90" s="49">
        <f t="shared" si="22"/>
        <v>0</v>
      </c>
      <c r="T90" s="49">
        <f t="shared" si="22"/>
        <v>0</v>
      </c>
      <c r="U90" s="49">
        <f t="shared" si="22"/>
        <v>0</v>
      </c>
      <c r="V90" s="49">
        <f t="shared" si="22"/>
        <v>0</v>
      </c>
      <c r="W90" s="49">
        <f t="shared" si="22"/>
        <v>24980</v>
      </c>
      <c r="X90" s="49">
        <f t="shared" si="22"/>
        <v>0</v>
      </c>
      <c r="Y90" s="49">
        <f t="shared" si="22"/>
        <v>64980</v>
      </c>
      <c r="Z90" s="49">
        <f t="shared" si="22"/>
        <v>0</v>
      </c>
      <c r="AA90" s="49">
        <f t="shared" si="22"/>
        <v>0</v>
      </c>
      <c r="AB90" s="49">
        <f t="shared" si="22"/>
        <v>24980</v>
      </c>
      <c r="AC90" s="49">
        <f t="shared" si="22"/>
        <v>0</v>
      </c>
      <c r="AD90" s="49">
        <f t="shared" si="22"/>
        <v>0</v>
      </c>
      <c r="AE90" s="49">
        <f t="shared" si="22"/>
        <v>0</v>
      </c>
      <c r="AF90" s="49">
        <f t="shared" si="22"/>
        <v>0</v>
      </c>
      <c r="AG90" s="49">
        <f t="shared" si="22"/>
        <v>6642934</v>
      </c>
      <c r="AH90" s="50">
        <f>SUM(AH91:AH99)</f>
        <v>11294785</v>
      </c>
    </row>
    <row r="91">
      <c r="A91" s="16" t="s">
        <v>85</v>
      </c>
      <c r="B91" s="27">
        <f t="shared" si="23"/>
        <v>0</v>
      </c>
      <c r="C91" s="20">
        <v>0.0</v>
      </c>
      <c r="D91" s="20">
        <v>0.0</v>
      </c>
      <c r="E91" s="20">
        <v>0.0</v>
      </c>
      <c r="F91" s="20">
        <v>0.0</v>
      </c>
      <c r="G91" s="20">
        <v>0.0</v>
      </c>
      <c r="H91" s="20">
        <v>0.0</v>
      </c>
      <c r="I91" s="20">
        <v>0.0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  <c r="O91" s="20">
        <v>0.0</v>
      </c>
      <c r="P91" s="20">
        <v>0.0</v>
      </c>
      <c r="Q91" s="20">
        <v>0.0</v>
      </c>
      <c r="R91" s="20">
        <v>0.0</v>
      </c>
      <c r="S91" s="20">
        <v>0.0</v>
      </c>
      <c r="T91" s="20">
        <v>0.0</v>
      </c>
      <c r="U91" s="20">
        <v>0.0</v>
      </c>
      <c r="V91" s="20">
        <v>0.0</v>
      </c>
      <c r="W91" s="20">
        <v>0.0</v>
      </c>
      <c r="X91" s="20">
        <v>0.0</v>
      </c>
      <c r="Y91" s="20">
        <v>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v>0.0</v>
      </c>
      <c r="AG91" s="20">
        <v>0.0</v>
      </c>
      <c r="AH91" s="19">
        <f t="shared" ref="AH91:AH99" si="24">SUM(C91:AG91)</f>
        <v>0</v>
      </c>
    </row>
    <row r="92">
      <c r="A92" s="16" t="s">
        <v>86</v>
      </c>
      <c r="B92" s="27">
        <f t="shared" si="23"/>
        <v>0.2200835893</v>
      </c>
      <c r="C92" s="20">
        <v>0.0</v>
      </c>
      <c r="D92" s="20">
        <v>0.0</v>
      </c>
      <c r="E92" s="20">
        <v>0.0</v>
      </c>
      <c r="F92" s="20">
        <v>0.0</v>
      </c>
      <c r="G92" s="20">
        <v>0.0</v>
      </c>
      <c r="H92" s="20">
        <v>0.0</v>
      </c>
      <c r="I92" s="20">
        <v>0.0</v>
      </c>
      <c r="J92" s="20">
        <v>0.0</v>
      </c>
      <c r="K92" s="20">
        <v>0.0</v>
      </c>
      <c r="L92" s="20">
        <v>0.0</v>
      </c>
      <c r="M92" s="20">
        <v>0.0</v>
      </c>
      <c r="N92" s="20">
        <v>0.0</v>
      </c>
      <c r="O92" s="20">
        <v>0.0</v>
      </c>
      <c r="P92" s="20">
        <v>0.0</v>
      </c>
      <c r="Q92" s="20">
        <f>270000+300000+400000+260000+630650</f>
        <v>1860650</v>
      </c>
      <c r="R92" s="20">
        <v>0.0</v>
      </c>
      <c r="S92" s="20">
        <v>0.0</v>
      </c>
      <c r="T92" s="20">
        <v>0.0</v>
      </c>
      <c r="U92" s="20">
        <v>0.0</v>
      </c>
      <c r="V92" s="20">
        <v>0.0</v>
      </c>
      <c r="W92" s="20">
        <v>0.0</v>
      </c>
      <c r="X92" s="20">
        <v>0.0</v>
      </c>
      <c r="Y92" s="20">
        <v>0.0</v>
      </c>
      <c r="Z92" s="20">
        <v>0.0</v>
      </c>
      <c r="AA92" s="20">
        <v>0.0</v>
      </c>
      <c r="AB92" s="20">
        <v>0.0</v>
      </c>
      <c r="AC92" s="20">
        <v>0.0</v>
      </c>
      <c r="AD92" s="20">
        <v>0.0</v>
      </c>
      <c r="AE92" s="20">
        <v>0.0</v>
      </c>
      <c r="AF92" s="20">
        <v>0.0</v>
      </c>
      <c r="AG92" s="20">
        <f>3442117+810467+445000+1013539+560449+510449+460913-600000</f>
        <v>6642934</v>
      </c>
      <c r="AH92" s="19">
        <f t="shared" si="24"/>
        <v>8503584</v>
      </c>
    </row>
    <row r="93">
      <c r="A93" s="16" t="s">
        <v>87</v>
      </c>
      <c r="B93" s="27">
        <f t="shared" si="23"/>
        <v>0.0004939441183</v>
      </c>
      <c r="C93" s="17">
        <v>5650.0</v>
      </c>
      <c r="D93" s="20">
        <v>0.0</v>
      </c>
      <c r="E93" s="20">
        <v>0.0</v>
      </c>
      <c r="F93" s="20">
        <v>0.0</v>
      </c>
      <c r="G93" s="20">
        <v>0.0</v>
      </c>
      <c r="H93" s="17">
        <v>13435.0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  <c r="P93" s="20">
        <v>0.0</v>
      </c>
      <c r="Q93" s="20">
        <v>0.0</v>
      </c>
      <c r="R93" s="20">
        <v>0.0</v>
      </c>
      <c r="S93" s="20">
        <v>0.0</v>
      </c>
      <c r="T93" s="20">
        <v>0.0</v>
      </c>
      <c r="U93" s="20">
        <v>0.0</v>
      </c>
      <c r="V93" s="20">
        <v>0.0</v>
      </c>
      <c r="W93" s="20">
        <v>0.0</v>
      </c>
      <c r="X93" s="20">
        <v>0.0</v>
      </c>
      <c r="Y93" s="20">
        <v>0.0</v>
      </c>
      <c r="Z93" s="20">
        <v>0.0</v>
      </c>
      <c r="AA93" s="20">
        <v>0.0</v>
      </c>
      <c r="AB93" s="20">
        <v>0.0</v>
      </c>
      <c r="AC93" s="20">
        <v>0.0</v>
      </c>
      <c r="AD93" s="20">
        <v>0.0</v>
      </c>
      <c r="AE93" s="20">
        <v>0.0</v>
      </c>
      <c r="AF93" s="20">
        <v>0.0</v>
      </c>
      <c r="AG93" s="20">
        <v>0.0</v>
      </c>
      <c r="AH93" s="19">
        <f t="shared" si="24"/>
        <v>19085</v>
      </c>
    </row>
    <row r="94">
      <c r="A94" s="16" t="s">
        <v>88</v>
      </c>
      <c r="B94" s="27">
        <f t="shared" si="23"/>
        <v>0.006858537666</v>
      </c>
      <c r="C94" s="20">
        <f>40000+30000+40000</f>
        <v>110000</v>
      </c>
      <c r="D94" s="20">
        <v>0.0</v>
      </c>
      <c r="E94" s="17">
        <v>20000.0</v>
      </c>
      <c r="F94" s="20">
        <v>0.0</v>
      </c>
      <c r="G94" s="20">
        <v>0.0</v>
      </c>
      <c r="H94" s="20">
        <v>0.0</v>
      </c>
      <c r="I94" s="20">
        <v>0.0</v>
      </c>
      <c r="J94" s="20">
        <v>0.0</v>
      </c>
      <c r="K94" s="20">
        <v>0.0</v>
      </c>
      <c r="L94" s="17">
        <f>25000+70000</f>
        <v>95000</v>
      </c>
      <c r="M94" s="20">
        <v>0.0</v>
      </c>
      <c r="N94" s="20">
        <v>0.0</v>
      </c>
      <c r="O94" s="20">
        <v>0.0</v>
      </c>
      <c r="P94" s="20">
        <v>0.0</v>
      </c>
      <c r="Q94" s="20">
        <v>0.0</v>
      </c>
      <c r="R94" s="20">
        <v>0.0</v>
      </c>
      <c r="S94" s="20">
        <v>0.0</v>
      </c>
      <c r="T94" s="20">
        <v>0.0</v>
      </c>
      <c r="U94" s="20">
        <v>0.0</v>
      </c>
      <c r="V94" s="20">
        <v>0.0</v>
      </c>
      <c r="W94" s="20">
        <v>0.0</v>
      </c>
      <c r="X94" s="20">
        <v>0.0</v>
      </c>
      <c r="Y94" s="17">
        <v>40000.0</v>
      </c>
      <c r="Z94" s="20">
        <v>0.0</v>
      </c>
      <c r="AA94" s="20">
        <v>0.0</v>
      </c>
      <c r="AB94" s="20">
        <v>0.0</v>
      </c>
      <c r="AC94" s="20">
        <v>0.0</v>
      </c>
      <c r="AD94" s="20">
        <v>0.0</v>
      </c>
      <c r="AE94" s="20">
        <v>0.0</v>
      </c>
      <c r="AF94" s="20">
        <v>0.0</v>
      </c>
      <c r="AG94" s="20">
        <v>0.0</v>
      </c>
      <c r="AH94" s="19">
        <f t="shared" si="24"/>
        <v>265000</v>
      </c>
    </row>
    <row r="95">
      <c r="A95" s="16" t="s">
        <v>89</v>
      </c>
      <c r="B95" s="27">
        <f t="shared" si="23"/>
        <v>0.005390991774</v>
      </c>
      <c r="C95" s="20">
        <v>0.0</v>
      </c>
      <c r="D95" s="20">
        <v>0.0</v>
      </c>
      <c r="E95" s="20">
        <v>0.0</v>
      </c>
      <c r="F95" s="20">
        <v>0.0</v>
      </c>
      <c r="G95" s="20">
        <v>0.0</v>
      </c>
      <c r="H95" s="20">
        <f>50917+50917+27773+27773+50917</f>
        <v>208297</v>
      </c>
      <c r="I95" s="20">
        <v>0.0</v>
      </c>
      <c r="J95" s="20">
        <v>0.0</v>
      </c>
      <c r="K95" s="20">
        <v>0.0</v>
      </c>
      <c r="L95" s="20">
        <v>0.0</v>
      </c>
      <c r="M95" s="20">
        <v>0.0</v>
      </c>
      <c r="N95" s="20">
        <v>0.0</v>
      </c>
      <c r="O95" s="20">
        <v>0.0</v>
      </c>
      <c r="P95" s="20">
        <v>0.0</v>
      </c>
      <c r="Q95" s="20">
        <v>0.0</v>
      </c>
      <c r="R95" s="20">
        <v>0.0</v>
      </c>
      <c r="S95" s="20">
        <v>0.0</v>
      </c>
      <c r="T95" s="20">
        <v>0.0</v>
      </c>
      <c r="U95" s="20">
        <v>0.0</v>
      </c>
      <c r="V95" s="20">
        <v>0.0</v>
      </c>
      <c r="W95" s="20">
        <v>0.0</v>
      </c>
      <c r="X95" s="20">
        <v>0.0</v>
      </c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20">
        <v>0.0</v>
      </c>
      <c r="AF95" s="20">
        <v>0.0</v>
      </c>
      <c r="AG95" s="20">
        <v>0.0</v>
      </c>
      <c r="AH95" s="19">
        <f t="shared" si="24"/>
        <v>208297</v>
      </c>
    </row>
    <row r="96">
      <c r="A96" s="16" t="s">
        <v>90</v>
      </c>
      <c r="B96" s="27">
        <f t="shared" si="23"/>
        <v>0.04849837623</v>
      </c>
      <c r="C96" s="20">
        <v>0.0</v>
      </c>
      <c r="D96" s="20">
        <v>0.0</v>
      </c>
      <c r="E96" s="20">
        <v>0.0</v>
      </c>
      <c r="F96" s="20">
        <v>0.0</v>
      </c>
      <c r="G96" s="20">
        <v>0.0</v>
      </c>
      <c r="H96" s="20">
        <v>0.0</v>
      </c>
      <c r="I96" s="20">
        <v>0.0</v>
      </c>
      <c r="J96" s="20">
        <v>0.0</v>
      </c>
      <c r="K96" s="20">
        <v>0.0</v>
      </c>
      <c r="L96" s="20">
        <v>0.0</v>
      </c>
      <c r="M96" s="20">
        <v>0.0</v>
      </c>
      <c r="N96" s="20">
        <v>0.0</v>
      </c>
      <c r="O96" s="17">
        <v>1873879.0</v>
      </c>
      <c r="P96" s="20">
        <v>0.0</v>
      </c>
      <c r="Q96" s="20">
        <v>0.0</v>
      </c>
      <c r="R96" s="20">
        <v>0.0</v>
      </c>
      <c r="S96" s="20">
        <v>0.0</v>
      </c>
      <c r="T96" s="20">
        <v>0.0</v>
      </c>
      <c r="U96" s="20">
        <v>0.0</v>
      </c>
      <c r="V96" s="20">
        <v>0.0</v>
      </c>
      <c r="W96" s="20">
        <v>0.0</v>
      </c>
      <c r="X96" s="20">
        <v>0.0</v>
      </c>
      <c r="Y96" s="20">
        <v>0.0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20">
        <v>0.0</v>
      </c>
      <c r="AF96" s="20">
        <v>0.0</v>
      </c>
      <c r="AG96" s="20">
        <v>0.0</v>
      </c>
      <c r="AH96" s="19">
        <f t="shared" si="24"/>
        <v>1873879</v>
      </c>
    </row>
    <row r="97">
      <c r="A97" s="16" t="s">
        <v>91</v>
      </c>
      <c r="B97" s="27">
        <f t="shared" si="23"/>
        <v>0</v>
      </c>
      <c r="C97" s="20">
        <v>0.0</v>
      </c>
      <c r="D97" s="20">
        <v>0.0</v>
      </c>
      <c r="E97" s="20">
        <v>0.0</v>
      </c>
      <c r="F97" s="20">
        <v>0.0</v>
      </c>
      <c r="G97" s="20">
        <v>0.0</v>
      </c>
      <c r="H97" s="20">
        <v>0.0</v>
      </c>
      <c r="I97" s="20">
        <v>0.0</v>
      </c>
      <c r="J97" s="20">
        <v>0.0</v>
      </c>
      <c r="K97" s="20">
        <v>0.0</v>
      </c>
      <c r="L97" s="20">
        <v>0.0</v>
      </c>
      <c r="M97" s="20">
        <v>0.0</v>
      </c>
      <c r="N97" s="20">
        <v>0.0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20">
        <v>0.0</v>
      </c>
      <c r="W97" s="20">
        <v>0.0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20">
        <v>0.0</v>
      </c>
      <c r="AD97" s="20">
        <v>0.0</v>
      </c>
      <c r="AE97" s="20">
        <v>0.0</v>
      </c>
      <c r="AF97" s="20">
        <v>0.0</v>
      </c>
      <c r="AG97" s="20">
        <v>0.0</v>
      </c>
      <c r="AH97" s="19">
        <f t="shared" si="24"/>
        <v>0</v>
      </c>
    </row>
    <row r="98">
      <c r="A98" s="16" t="s">
        <v>92</v>
      </c>
      <c r="B98" s="27">
        <f t="shared" si="23"/>
        <v>0.009058445973</v>
      </c>
      <c r="C98" s="20">
        <v>0.0</v>
      </c>
      <c r="D98" s="20">
        <v>0.0</v>
      </c>
      <c r="E98" s="20">
        <v>0.0</v>
      </c>
      <c r="F98" s="20">
        <v>0.0</v>
      </c>
      <c r="G98" s="20">
        <v>0.0</v>
      </c>
      <c r="H98" s="20">
        <v>0.0</v>
      </c>
      <c r="I98" s="20">
        <v>0.0</v>
      </c>
      <c r="J98" s="17">
        <v>350000.0</v>
      </c>
      <c r="K98" s="20">
        <v>0.0</v>
      </c>
      <c r="L98" s="20">
        <v>0.0</v>
      </c>
      <c r="M98" s="20">
        <v>0.0</v>
      </c>
      <c r="N98" s="20">
        <v>0.0</v>
      </c>
      <c r="O98" s="20">
        <v>0.0</v>
      </c>
      <c r="P98" s="20">
        <v>0.0</v>
      </c>
      <c r="Q98" s="20">
        <v>0.0</v>
      </c>
      <c r="R98" s="20">
        <v>0.0</v>
      </c>
      <c r="S98" s="20">
        <v>0.0</v>
      </c>
      <c r="T98" s="20">
        <v>0.0</v>
      </c>
      <c r="U98" s="20">
        <v>0.0</v>
      </c>
      <c r="V98" s="20">
        <v>0.0</v>
      </c>
      <c r="W98" s="20">
        <v>0.0</v>
      </c>
      <c r="X98" s="20">
        <v>0.0</v>
      </c>
      <c r="Y98" s="20">
        <v>0.0</v>
      </c>
      <c r="Z98" s="20">
        <v>0.0</v>
      </c>
      <c r="AA98" s="20">
        <v>0.0</v>
      </c>
      <c r="AB98" s="20">
        <v>0.0</v>
      </c>
      <c r="AC98" s="20">
        <v>0.0</v>
      </c>
      <c r="AD98" s="20">
        <v>0.0</v>
      </c>
      <c r="AE98" s="20">
        <v>0.0</v>
      </c>
      <c r="AF98" s="20">
        <v>0.0</v>
      </c>
      <c r="AG98" s="20">
        <v>0.0</v>
      </c>
      <c r="AH98" s="19">
        <f t="shared" si="24"/>
        <v>350000</v>
      </c>
    </row>
    <row r="99">
      <c r="A99" s="16" t="s">
        <v>93</v>
      </c>
      <c r="B99" s="27">
        <f t="shared" si="23"/>
        <v>0.001939542689</v>
      </c>
      <c r="C99" s="20">
        <v>0.0</v>
      </c>
      <c r="D99" s="20">
        <v>0.0</v>
      </c>
      <c r="E99" s="20">
        <v>0.0</v>
      </c>
      <c r="F99" s="20">
        <v>0.0</v>
      </c>
      <c r="G99" s="20">
        <v>0.0</v>
      </c>
      <c r="H99" s="20">
        <v>0.0</v>
      </c>
      <c r="I99" s="20">
        <v>0.0</v>
      </c>
      <c r="J99" s="20">
        <v>0.0</v>
      </c>
      <c r="K99" s="20">
        <v>0.0</v>
      </c>
      <c r="L99" s="20">
        <v>0.0</v>
      </c>
      <c r="M99" s="20">
        <v>0.0</v>
      </c>
      <c r="N99" s="20">
        <v>0.0</v>
      </c>
      <c r="O99" s="20">
        <v>0.0</v>
      </c>
      <c r="P99" s="20">
        <v>0.0</v>
      </c>
      <c r="Q99" s="20">
        <v>0.0</v>
      </c>
      <c r="R99" s="20">
        <v>0.0</v>
      </c>
      <c r="S99" s="20">
        <v>0.0</v>
      </c>
      <c r="T99" s="20">
        <v>0.0</v>
      </c>
      <c r="U99" s="20">
        <v>0.0</v>
      </c>
      <c r="V99" s="20">
        <v>0.0</v>
      </c>
      <c r="W99" s="17">
        <v>24980.0</v>
      </c>
      <c r="X99" s="20">
        <v>0.0</v>
      </c>
      <c r="Y99" s="17">
        <v>24980.0</v>
      </c>
      <c r="Z99" s="20">
        <v>0.0</v>
      </c>
      <c r="AA99" s="20">
        <v>0.0</v>
      </c>
      <c r="AB99" s="17">
        <v>24980.0</v>
      </c>
      <c r="AC99" s="20">
        <v>0.0</v>
      </c>
      <c r="AD99" s="20">
        <v>0.0</v>
      </c>
      <c r="AE99" s="20">
        <v>0.0</v>
      </c>
      <c r="AF99" s="20">
        <v>0.0</v>
      </c>
      <c r="AG99" s="20">
        <v>0.0</v>
      </c>
      <c r="AH99" s="19">
        <f t="shared" si="24"/>
        <v>74940</v>
      </c>
    </row>
    <row r="100">
      <c r="A100" s="7"/>
      <c r="B100" s="8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51" t="s">
        <v>94</v>
      </c>
      <c r="B101" s="52">
        <f t="shared" ref="B101:B103" si="26">AH101/$AH$10</f>
        <v>0.09341669933</v>
      </c>
      <c r="C101" s="53">
        <f t="shared" ref="C101:AH101" si="25">SUM(C102:C103)</f>
        <v>0</v>
      </c>
      <c r="D101" s="53">
        <f t="shared" si="25"/>
        <v>0</v>
      </c>
      <c r="E101" s="53">
        <f t="shared" si="25"/>
        <v>0</v>
      </c>
      <c r="F101" s="53">
        <f t="shared" si="25"/>
        <v>0</v>
      </c>
      <c r="G101" s="53">
        <f t="shared" si="25"/>
        <v>0</v>
      </c>
      <c r="H101" s="53">
        <f t="shared" si="25"/>
        <v>0</v>
      </c>
      <c r="I101" s="53">
        <f t="shared" si="25"/>
        <v>0</v>
      </c>
      <c r="J101" s="53">
        <f t="shared" si="25"/>
        <v>0</v>
      </c>
      <c r="K101" s="53">
        <f t="shared" si="25"/>
        <v>0</v>
      </c>
      <c r="L101" s="53">
        <f t="shared" si="25"/>
        <v>0</v>
      </c>
      <c r="M101" s="53">
        <f t="shared" si="25"/>
        <v>0</v>
      </c>
      <c r="N101" s="53">
        <f t="shared" si="25"/>
        <v>0</v>
      </c>
      <c r="O101" s="53">
        <f t="shared" si="25"/>
        <v>0</v>
      </c>
      <c r="P101" s="53">
        <f t="shared" si="25"/>
        <v>0</v>
      </c>
      <c r="Q101" s="53">
        <f t="shared" si="25"/>
        <v>0</v>
      </c>
      <c r="R101" s="53">
        <f t="shared" si="25"/>
        <v>0</v>
      </c>
      <c r="S101" s="53">
        <f t="shared" si="25"/>
        <v>0</v>
      </c>
      <c r="T101" s="53">
        <f t="shared" si="25"/>
        <v>0</v>
      </c>
      <c r="U101" s="53">
        <f t="shared" si="25"/>
        <v>3609432</v>
      </c>
      <c r="V101" s="53">
        <f t="shared" si="25"/>
        <v>0</v>
      </c>
      <c r="W101" s="53">
        <f t="shared" si="25"/>
        <v>0</v>
      </c>
      <c r="X101" s="53">
        <f t="shared" si="25"/>
        <v>0</v>
      </c>
      <c r="Y101" s="53">
        <f t="shared" si="25"/>
        <v>0</v>
      </c>
      <c r="Z101" s="53">
        <f t="shared" si="25"/>
        <v>0</v>
      </c>
      <c r="AA101" s="53">
        <f t="shared" si="25"/>
        <v>0</v>
      </c>
      <c r="AB101" s="53">
        <f t="shared" si="25"/>
        <v>0</v>
      </c>
      <c r="AC101" s="53">
        <f t="shared" si="25"/>
        <v>0</v>
      </c>
      <c r="AD101" s="53">
        <f t="shared" si="25"/>
        <v>0</v>
      </c>
      <c r="AE101" s="53">
        <f t="shared" si="25"/>
        <v>0</v>
      </c>
      <c r="AF101" s="53">
        <f t="shared" si="25"/>
        <v>0</v>
      </c>
      <c r="AG101" s="53">
        <f t="shared" si="25"/>
        <v>0</v>
      </c>
      <c r="AH101" s="54">
        <f t="shared" si="25"/>
        <v>3609432</v>
      </c>
    </row>
    <row r="102">
      <c r="A102" s="16" t="s">
        <v>95</v>
      </c>
      <c r="B102" s="27">
        <f t="shared" si="26"/>
        <v>0</v>
      </c>
      <c r="C102" s="20">
        <v>0.0</v>
      </c>
      <c r="D102" s="20">
        <v>0.0</v>
      </c>
      <c r="E102" s="20">
        <v>0.0</v>
      </c>
      <c r="F102" s="20">
        <v>0.0</v>
      </c>
      <c r="G102" s="20">
        <v>0.0</v>
      </c>
      <c r="H102" s="20">
        <v>0.0</v>
      </c>
      <c r="I102" s="20">
        <v>0.0</v>
      </c>
      <c r="J102" s="20">
        <v>0.0</v>
      </c>
      <c r="K102" s="20">
        <v>0.0</v>
      </c>
      <c r="L102" s="20">
        <v>0.0</v>
      </c>
      <c r="M102" s="20">
        <v>0.0</v>
      </c>
      <c r="N102" s="20">
        <v>0.0</v>
      </c>
      <c r="O102" s="20">
        <v>0.0</v>
      </c>
      <c r="P102" s="20">
        <v>0.0</v>
      </c>
      <c r="Q102" s="20">
        <v>0.0</v>
      </c>
      <c r="R102" s="20">
        <v>0.0</v>
      </c>
      <c r="S102" s="20">
        <v>0.0</v>
      </c>
      <c r="T102" s="20">
        <v>0.0</v>
      </c>
      <c r="U102" s="20">
        <v>0.0</v>
      </c>
      <c r="V102" s="20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20">
        <v>0.0</v>
      </c>
      <c r="AE102" s="20">
        <v>0.0</v>
      </c>
      <c r="AF102" s="20">
        <v>0.0</v>
      </c>
      <c r="AG102" s="20">
        <v>0.0</v>
      </c>
      <c r="AH102" s="19">
        <f t="shared" ref="AH102:AH103" si="27">SUM(C102:AG102)</f>
        <v>0</v>
      </c>
    </row>
    <row r="103">
      <c r="A103" s="16" t="s">
        <v>96</v>
      </c>
      <c r="B103" s="27">
        <f t="shared" si="26"/>
        <v>0.09341669933</v>
      </c>
      <c r="C103" s="20">
        <v>0.0</v>
      </c>
      <c r="D103" s="20">
        <v>0.0</v>
      </c>
      <c r="E103" s="20">
        <v>0.0</v>
      </c>
      <c r="F103" s="20">
        <v>0.0</v>
      </c>
      <c r="G103" s="20">
        <v>0.0</v>
      </c>
      <c r="H103" s="20">
        <v>0.0</v>
      </c>
      <c r="I103" s="20">
        <v>0.0</v>
      </c>
      <c r="J103" s="20">
        <v>0.0</v>
      </c>
      <c r="K103" s="20">
        <v>0.0</v>
      </c>
      <c r="L103" s="20">
        <v>0.0</v>
      </c>
      <c r="M103" s="20">
        <v>0.0</v>
      </c>
      <c r="N103" s="20">
        <v>0.0</v>
      </c>
      <c r="O103" s="20">
        <v>0.0</v>
      </c>
      <c r="P103" s="20">
        <v>0.0</v>
      </c>
      <c r="Q103" s="20">
        <v>0.0</v>
      </c>
      <c r="R103" s="20">
        <v>0.0</v>
      </c>
      <c r="S103" s="20">
        <v>0.0</v>
      </c>
      <c r="T103" s="17">
        <v>0.0</v>
      </c>
      <c r="U103" s="17">
        <v>3609432.0</v>
      </c>
      <c r="V103" s="17">
        <v>0.0</v>
      </c>
      <c r="W103" s="20">
        <v>0.0</v>
      </c>
      <c r="X103" s="20">
        <v>0.0</v>
      </c>
      <c r="Y103" s="20">
        <v>0.0</v>
      </c>
      <c r="Z103" s="20">
        <v>0.0</v>
      </c>
      <c r="AA103" s="20">
        <v>0.0</v>
      </c>
      <c r="AB103" s="20">
        <v>0.0</v>
      </c>
      <c r="AC103" s="20">
        <v>0.0</v>
      </c>
      <c r="AD103" s="20">
        <v>0.0</v>
      </c>
      <c r="AE103" s="20">
        <v>0.0</v>
      </c>
      <c r="AF103" s="20">
        <v>0.0</v>
      </c>
      <c r="AG103" s="20">
        <v>0.0</v>
      </c>
      <c r="AH103" s="19">
        <f t="shared" si="27"/>
        <v>3609432</v>
      </c>
    </row>
    <row r="104">
      <c r="A104" s="7"/>
      <c r="B104" s="8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7"/>
      <c r="AH104" s="7"/>
    </row>
    <row r="105">
      <c r="A105" s="55" t="s">
        <v>97</v>
      </c>
      <c r="B105" s="56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8"/>
      <c r="AH105" s="38">
        <f>AH106+AH107</f>
        <v>0</v>
      </c>
    </row>
    <row r="106">
      <c r="A106" s="16" t="s">
        <v>98</v>
      </c>
      <c r="B106" s="8"/>
      <c r="C106" s="20">
        <v>0.0</v>
      </c>
      <c r="D106" s="20">
        <v>0.0</v>
      </c>
      <c r="E106" s="20">
        <v>0.0</v>
      </c>
      <c r="F106" s="20">
        <v>0.0</v>
      </c>
      <c r="G106" s="20">
        <v>0.0</v>
      </c>
      <c r="H106" s="20">
        <v>0.0</v>
      </c>
      <c r="I106" s="20">
        <v>0.0</v>
      </c>
      <c r="J106" s="20">
        <v>0.0</v>
      </c>
      <c r="K106" s="20">
        <v>0.0</v>
      </c>
      <c r="L106" s="20">
        <v>0.0</v>
      </c>
      <c r="M106" s="20">
        <v>0.0</v>
      </c>
      <c r="N106" s="20">
        <v>0.0</v>
      </c>
      <c r="O106" s="20">
        <v>0.0</v>
      </c>
      <c r="P106" s="20">
        <v>0.0</v>
      </c>
      <c r="Q106" s="20">
        <v>0.0</v>
      </c>
      <c r="R106" s="20">
        <v>0.0</v>
      </c>
      <c r="S106" s="20">
        <v>0.0</v>
      </c>
      <c r="T106" s="20">
        <v>0.0</v>
      </c>
      <c r="U106" s="20">
        <v>0.0</v>
      </c>
      <c r="V106" s="20">
        <v>0.0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17">
        <v>0.0</v>
      </c>
      <c r="AC106" s="20">
        <v>0.0</v>
      </c>
      <c r="AD106" s="20">
        <v>0.0</v>
      </c>
      <c r="AE106" s="17">
        <v>0.0</v>
      </c>
      <c r="AF106" s="20">
        <v>0.0</v>
      </c>
      <c r="AG106" s="20">
        <v>0.0</v>
      </c>
      <c r="AH106" s="59">
        <f t="shared" ref="AH106:AH107" si="28">sum(C106:AG106)</f>
        <v>0</v>
      </c>
    </row>
    <row r="107">
      <c r="A107" s="7"/>
      <c r="B107" s="8"/>
      <c r="C107" s="20">
        <v>0.0</v>
      </c>
      <c r="D107" s="20">
        <v>0.0</v>
      </c>
      <c r="E107" s="20">
        <v>0.0</v>
      </c>
      <c r="F107" s="20">
        <v>0.0</v>
      </c>
      <c r="G107" s="20">
        <v>0.0</v>
      </c>
      <c r="H107" s="20">
        <v>0.0</v>
      </c>
      <c r="I107" s="20">
        <v>0.0</v>
      </c>
      <c r="J107" s="20">
        <v>0.0</v>
      </c>
      <c r="K107" s="20">
        <v>0.0</v>
      </c>
      <c r="L107" s="20">
        <v>0.0</v>
      </c>
      <c r="M107" s="20">
        <v>0.0</v>
      </c>
      <c r="N107" s="20">
        <v>0.0</v>
      </c>
      <c r="O107" s="20">
        <v>0.0</v>
      </c>
      <c r="P107" s="20">
        <v>0.0</v>
      </c>
      <c r="Q107" s="20">
        <v>0.0</v>
      </c>
      <c r="R107" s="20">
        <v>0.0</v>
      </c>
      <c r="S107" s="20">
        <v>0.0</v>
      </c>
      <c r="T107" s="20">
        <v>0.0</v>
      </c>
      <c r="U107" s="20">
        <v>0.0</v>
      </c>
      <c r="V107" s="20">
        <v>0.0</v>
      </c>
      <c r="W107" s="20">
        <v>0.0</v>
      </c>
      <c r="X107" s="20">
        <v>0.0</v>
      </c>
      <c r="Y107" s="20">
        <v>0.0</v>
      </c>
      <c r="Z107" s="20">
        <v>0.0</v>
      </c>
      <c r="AA107" s="20">
        <v>0.0</v>
      </c>
      <c r="AB107" s="20">
        <v>0.0</v>
      </c>
      <c r="AC107" s="20">
        <v>0.0</v>
      </c>
      <c r="AD107" s="20">
        <v>0.0</v>
      </c>
      <c r="AE107" s="20">
        <v>0.0</v>
      </c>
      <c r="AF107" s="20">
        <v>0.0</v>
      </c>
      <c r="AG107" s="20">
        <v>0.0</v>
      </c>
      <c r="AH107" s="59">
        <f t="shared" si="28"/>
        <v>0</v>
      </c>
    </row>
    <row r="108">
      <c r="A108" s="7"/>
      <c r="B108" s="8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7"/>
      <c r="AH108" s="7"/>
    </row>
    <row r="109">
      <c r="A109" s="60" t="s">
        <v>99</v>
      </c>
      <c r="B109" s="61"/>
      <c r="C109" s="62">
        <f t="shared" ref="C109:AG109" si="29">C101+C90+C84+C34+C78+C12+C106+C107</f>
        <v>774034</v>
      </c>
      <c r="D109" s="62">
        <f t="shared" si="29"/>
        <v>109171</v>
      </c>
      <c r="E109" s="62">
        <f t="shared" si="29"/>
        <v>521148</v>
      </c>
      <c r="F109" s="62">
        <f t="shared" si="29"/>
        <v>483845</v>
      </c>
      <c r="G109" s="62">
        <f t="shared" si="29"/>
        <v>1950765</v>
      </c>
      <c r="H109" s="62">
        <f t="shared" si="29"/>
        <v>1954972</v>
      </c>
      <c r="I109" s="62">
        <f t="shared" si="29"/>
        <v>2473644</v>
      </c>
      <c r="J109" s="62">
        <f t="shared" si="29"/>
        <v>1274640</v>
      </c>
      <c r="K109" s="62">
        <f t="shared" si="29"/>
        <v>346359</v>
      </c>
      <c r="L109" s="62">
        <f t="shared" si="29"/>
        <v>530280</v>
      </c>
      <c r="M109" s="62">
        <f t="shared" si="29"/>
        <v>1458770</v>
      </c>
      <c r="N109" s="62">
        <f t="shared" si="29"/>
        <v>839678</v>
      </c>
      <c r="O109" s="62">
        <f t="shared" si="29"/>
        <v>4970036</v>
      </c>
      <c r="P109" s="62">
        <f t="shared" si="29"/>
        <v>754672</v>
      </c>
      <c r="Q109" s="62">
        <f t="shared" si="29"/>
        <v>3500278</v>
      </c>
      <c r="R109" s="62">
        <f t="shared" si="29"/>
        <v>737478</v>
      </c>
      <c r="S109" s="62">
        <f t="shared" si="29"/>
        <v>21530</v>
      </c>
      <c r="T109" s="62">
        <f t="shared" si="29"/>
        <v>912081</v>
      </c>
      <c r="U109" s="62">
        <f t="shared" si="29"/>
        <v>4930694</v>
      </c>
      <c r="V109" s="62">
        <f t="shared" si="29"/>
        <v>581032</v>
      </c>
      <c r="W109" s="62">
        <f t="shared" si="29"/>
        <v>24980</v>
      </c>
      <c r="X109" s="62">
        <f t="shared" si="29"/>
        <v>964912</v>
      </c>
      <c r="Y109" s="62">
        <f t="shared" si="29"/>
        <v>322756</v>
      </c>
      <c r="Z109" s="62">
        <f t="shared" si="29"/>
        <v>110828</v>
      </c>
      <c r="AA109" s="62">
        <f t="shared" si="29"/>
        <v>503409</v>
      </c>
      <c r="AB109" s="62">
        <f t="shared" si="29"/>
        <v>1274794</v>
      </c>
      <c r="AC109" s="62">
        <f t="shared" si="29"/>
        <v>457038</v>
      </c>
      <c r="AD109" s="62">
        <f t="shared" si="29"/>
        <v>736152</v>
      </c>
      <c r="AE109" s="62">
        <f t="shared" si="29"/>
        <v>1386823</v>
      </c>
      <c r="AF109" s="62">
        <f t="shared" si="29"/>
        <v>1141000</v>
      </c>
      <c r="AG109" s="62">
        <f t="shared" si="29"/>
        <v>7250450</v>
      </c>
      <c r="AH109" s="63">
        <f>sum(C109:AF109)</f>
        <v>36047799</v>
      </c>
    </row>
    <row r="110">
      <c r="A110" s="64" t="s">
        <v>100</v>
      </c>
      <c r="B110" s="65"/>
      <c r="C110" s="63">
        <f t="shared" ref="C110:AG110" si="30">C101+C90+C34+C78+C12</f>
        <v>213250</v>
      </c>
      <c r="D110" s="63">
        <f t="shared" si="30"/>
        <v>109171</v>
      </c>
      <c r="E110" s="63">
        <f t="shared" si="30"/>
        <v>521148</v>
      </c>
      <c r="F110" s="63">
        <f t="shared" si="30"/>
        <v>88956</v>
      </c>
      <c r="G110" s="63">
        <f t="shared" si="30"/>
        <v>1950765</v>
      </c>
      <c r="H110" s="63">
        <f t="shared" si="30"/>
        <v>1954972</v>
      </c>
      <c r="I110" s="63">
        <f t="shared" si="30"/>
        <v>2473644</v>
      </c>
      <c r="J110" s="63">
        <f t="shared" si="30"/>
        <v>632450</v>
      </c>
      <c r="K110" s="63">
        <f t="shared" si="30"/>
        <v>346359</v>
      </c>
      <c r="L110" s="63">
        <f t="shared" si="30"/>
        <v>530280</v>
      </c>
      <c r="M110" s="63">
        <f t="shared" si="30"/>
        <v>950160</v>
      </c>
      <c r="N110" s="63">
        <f t="shared" si="30"/>
        <v>839678</v>
      </c>
      <c r="O110" s="63">
        <f t="shared" si="30"/>
        <v>4970036</v>
      </c>
      <c r="P110" s="63">
        <f t="shared" si="30"/>
        <v>754672</v>
      </c>
      <c r="Q110" s="63">
        <f t="shared" si="30"/>
        <v>3491198</v>
      </c>
      <c r="R110" s="63">
        <f t="shared" si="30"/>
        <v>305706</v>
      </c>
      <c r="S110" s="63">
        <f t="shared" si="30"/>
        <v>21530</v>
      </c>
      <c r="T110" s="63">
        <f t="shared" si="30"/>
        <v>386702</v>
      </c>
      <c r="U110" s="63">
        <f t="shared" si="30"/>
        <v>4930694</v>
      </c>
      <c r="V110" s="63">
        <f t="shared" si="30"/>
        <v>581032</v>
      </c>
      <c r="W110" s="63">
        <f t="shared" si="30"/>
        <v>24980</v>
      </c>
      <c r="X110" s="63">
        <f t="shared" si="30"/>
        <v>417117</v>
      </c>
      <c r="Y110" s="63">
        <f t="shared" si="30"/>
        <v>322756</v>
      </c>
      <c r="Z110" s="63">
        <f t="shared" si="30"/>
        <v>110828</v>
      </c>
      <c r="AA110" s="63">
        <f t="shared" si="30"/>
        <v>121087</v>
      </c>
      <c r="AB110" s="63">
        <f t="shared" si="30"/>
        <v>1274794</v>
      </c>
      <c r="AC110" s="63">
        <f t="shared" si="30"/>
        <v>443063</v>
      </c>
      <c r="AD110" s="63">
        <f t="shared" si="30"/>
        <v>736152</v>
      </c>
      <c r="AE110" s="63">
        <f t="shared" si="30"/>
        <v>893198</v>
      </c>
      <c r="AF110" s="63">
        <f t="shared" si="30"/>
        <v>1141000</v>
      </c>
      <c r="AG110" s="63">
        <f t="shared" si="30"/>
        <v>7242934</v>
      </c>
      <c r="AH110" s="63">
        <f>sum(C110:AG110)</f>
        <v>38780312</v>
      </c>
    </row>
    <row r="111">
      <c r="A111" s="7"/>
      <c r="B111" s="8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7"/>
      <c r="AH111" s="7"/>
    </row>
    <row r="112">
      <c r="A112" s="21" t="s">
        <v>101</v>
      </c>
      <c r="B112" s="27">
        <f>AH112/$AH$10</f>
        <v>-0.003683888808</v>
      </c>
      <c r="C112" s="22">
        <f t="shared" ref="C112:AG112" si="31">C9-C110</f>
        <v>1398524</v>
      </c>
      <c r="D112" s="22">
        <f t="shared" si="31"/>
        <v>1613974</v>
      </c>
      <c r="E112" s="22">
        <f t="shared" si="31"/>
        <v>1946221</v>
      </c>
      <c r="F112" s="22">
        <f t="shared" si="31"/>
        <v>1095613</v>
      </c>
      <c r="G112" s="22">
        <f t="shared" si="31"/>
        <v>-782484</v>
      </c>
      <c r="H112" s="22">
        <f t="shared" si="31"/>
        <v>-1133581</v>
      </c>
      <c r="I112" s="22">
        <f t="shared" si="31"/>
        <v>-1311147</v>
      </c>
      <c r="J112" s="22">
        <f t="shared" si="31"/>
        <v>353147</v>
      </c>
      <c r="K112" s="22">
        <f t="shared" si="31"/>
        <v>938190</v>
      </c>
      <c r="L112" s="22">
        <f t="shared" si="31"/>
        <v>2002042</v>
      </c>
      <c r="M112" s="22">
        <f t="shared" si="31"/>
        <v>977893</v>
      </c>
      <c r="N112" s="22">
        <f t="shared" si="31"/>
        <v>285529</v>
      </c>
      <c r="O112" s="22">
        <f t="shared" si="31"/>
        <v>-3928924</v>
      </c>
      <c r="P112" s="22">
        <f t="shared" si="31"/>
        <v>108399</v>
      </c>
      <c r="Q112" s="22">
        <f t="shared" si="31"/>
        <v>-1760986</v>
      </c>
      <c r="R112" s="22">
        <f t="shared" si="31"/>
        <v>1471525</v>
      </c>
      <c r="S112" s="22">
        <f t="shared" si="31"/>
        <v>2324540</v>
      </c>
      <c r="T112" s="22">
        <f t="shared" si="31"/>
        <v>596078</v>
      </c>
      <c r="U112" s="22">
        <f t="shared" si="31"/>
        <v>-3711329</v>
      </c>
      <c r="V112" s="22">
        <f t="shared" si="31"/>
        <v>519856</v>
      </c>
      <c r="W112" s="22">
        <f t="shared" si="31"/>
        <v>669009</v>
      </c>
      <c r="X112" s="22">
        <f t="shared" si="31"/>
        <v>957502</v>
      </c>
      <c r="Y112" s="22">
        <f t="shared" si="31"/>
        <v>1420818</v>
      </c>
      <c r="Z112" s="22">
        <f t="shared" si="31"/>
        <v>945445</v>
      </c>
      <c r="AA112" s="22">
        <f t="shared" si="31"/>
        <v>723747</v>
      </c>
      <c r="AB112" s="22">
        <f t="shared" si="31"/>
        <v>-367028</v>
      </c>
      <c r="AC112" s="22">
        <f t="shared" si="31"/>
        <v>529217</v>
      </c>
      <c r="AD112" s="22">
        <f t="shared" si="31"/>
        <v>352372</v>
      </c>
      <c r="AE112" s="22">
        <f t="shared" si="31"/>
        <v>339914</v>
      </c>
      <c r="AF112" s="22">
        <f t="shared" si="31"/>
        <v>652220</v>
      </c>
      <c r="AG112" s="22">
        <f t="shared" si="31"/>
        <v>-4850697</v>
      </c>
      <c r="AH112" s="19">
        <f>AH10-AH110</f>
        <v>-142338</v>
      </c>
    </row>
    <row r="113">
      <c r="A113" s="7"/>
      <c r="B113" s="8"/>
      <c r="C113" s="66"/>
      <c r="D113" s="66"/>
      <c r="E113" s="66"/>
      <c r="F113" s="66"/>
      <c r="G113" s="66"/>
      <c r="H113" s="6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7"/>
      <c r="B1002" s="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7"/>
      <c r="B1003" s="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7"/>
      <c r="B1004" s="8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7"/>
      <c r="B1005" s="8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7"/>
      <c r="B1006" s="8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7"/>
      <c r="B1007" s="8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7"/>
      <c r="B1008" s="8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7"/>
      <c r="B1009" s="8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7"/>
      <c r="B1010" s="8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7"/>
      <c r="B1011" s="8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7"/>
      <c r="B1012" s="8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7"/>
      <c r="B1013" s="8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7"/>
      <c r="B1014" s="8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7"/>
      <c r="B1015" s="8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7"/>
      <c r="B1016" s="8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>
      <c r="A1017" s="7"/>
      <c r="B1017" s="8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>
      <c r="A1018" s="7"/>
      <c r="B1018" s="8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>
      <c r="A1019" s="7"/>
      <c r="B1019" s="8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>
      <c r="A1020" s="7"/>
      <c r="B1020" s="8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>
      <c r="A1021" s="7"/>
      <c r="B1021" s="8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>
      <c r="A1022" s="7"/>
      <c r="B1022" s="8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>
      <c r="A1023" s="7"/>
      <c r="B1023" s="8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>
      <c r="A1024" s="7"/>
      <c r="B1024" s="8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>
      <c r="A1025" s="7"/>
      <c r="B1025" s="8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>
      <c r="A1026" s="7"/>
      <c r="B1026" s="8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>
      <c r="A1027" s="7"/>
      <c r="B1027" s="8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>
      <c r="A1028" s="7"/>
      <c r="B1028" s="8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>
      <c r="A1029" s="7"/>
      <c r="B1029" s="8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>
      <c r="A1030" s="7"/>
      <c r="B1030" s="8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>
      <c r="A1031" s="7"/>
      <c r="B1031" s="8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>
      <c r="A1032" s="7"/>
      <c r="B1032" s="8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>
      <c r="A1033" s="7"/>
      <c r="B1033" s="8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>
      <c r="A1034" s="7"/>
      <c r="B1034" s="8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>
      <c r="A1035" s="7"/>
      <c r="B1035" s="8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>
      <c r="A1036" s="7"/>
      <c r="B1036" s="8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>
      <c r="A1037" s="7"/>
      <c r="B1037" s="8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>
      <c r="A1038" s="7"/>
      <c r="B1038" s="8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>
      <c r="A1039" s="7"/>
      <c r="B1039" s="8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>
      <c r="A1040" s="7"/>
      <c r="B1040" s="8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>
      <c r="A1041" s="7"/>
      <c r="B1041" s="8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>
      <c r="A1042" s="7"/>
      <c r="B1042" s="8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>
      <c r="A1043" s="7"/>
      <c r="B1043" s="8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>
      <c r="A1044" s="7"/>
      <c r="B1044" s="8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>
      <c r="A1045" s="7"/>
      <c r="B1045" s="8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>
      <c r="A1046" s="7"/>
      <c r="B1046" s="8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>
      <c r="A1047" s="7"/>
      <c r="B1047" s="8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>
      <c r="A1048" s="7"/>
      <c r="B1048" s="8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>
      <c r="A1049" s="7"/>
      <c r="B1049" s="8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</row>
    <row r="1050">
      <c r="A1050" s="7"/>
      <c r="B1050" s="8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  <row r="1051">
      <c r="A1051" s="7"/>
      <c r="B1051" s="8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</row>
    <row r="1052">
      <c r="A1052" s="7"/>
      <c r="B1052" s="8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63"/>
    <col hidden="1" min="33" max="33" width="12.63"/>
  </cols>
  <sheetData>
    <row r="1">
      <c r="A1" s="1"/>
      <c r="B1" s="3"/>
      <c r="C1" s="4">
        <v>46143.0</v>
      </c>
      <c r="D1" s="4">
        <v>46144.0</v>
      </c>
      <c r="E1" s="4">
        <v>46145.0</v>
      </c>
      <c r="F1" s="4">
        <v>46146.0</v>
      </c>
      <c r="G1" s="4">
        <v>46147.0</v>
      </c>
      <c r="H1" s="4">
        <v>46148.0</v>
      </c>
      <c r="I1" s="4">
        <v>46149.0</v>
      </c>
      <c r="J1" s="4">
        <v>46150.0</v>
      </c>
      <c r="K1" s="4">
        <v>46151.0</v>
      </c>
      <c r="L1" s="4">
        <v>46152.0</v>
      </c>
      <c r="M1" s="4">
        <v>46153.0</v>
      </c>
      <c r="N1" s="4">
        <v>46154.0</v>
      </c>
      <c r="O1" s="4">
        <v>46155.0</v>
      </c>
      <c r="P1" s="4">
        <v>46156.0</v>
      </c>
      <c r="Q1" s="4">
        <v>46157.0</v>
      </c>
      <c r="R1" s="4">
        <v>46158.0</v>
      </c>
      <c r="S1" s="4">
        <v>46159.0</v>
      </c>
      <c r="T1" s="4">
        <v>46160.0</v>
      </c>
      <c r="U1" s="4">
        <v>46161.0</v>
      </c>
      <c r="V1" s="4">
        <v>46162.0</v>
      </c>
      <c r="W1" s="4">
        <v>46163.0</v>
      </c>
      <c r="X1" s="4">
        <v>46164.0</v>
      </c>
      <c r="Y1" s="4">
        <v>46165.0</v>
      </c>
      <c r="Z1" s="4">
        <v>46166.0</v>
      </c>
      <c r="AA1" s="4">
        <v>46167.0</v>
      </c>
      <c r="AB1" s="4">
        <v>46168.0</v>
      </c>
      <c r="AC1" s="4">
        <v>46169.0</v>
      </c>
      <c r="AD1" s="4">
        <v>46170.0</v>
      </c>
      <c r="AE1" s="4">
        <v>46171.0</v>
      </c>
      <c r="AF1" s="4">
        <v>46172.0</v>
      </c>
      <c r="AG1" s="4">
        <v>46173.0</v>
      </c>
      <c r="AH1" s="6" t="s">
        <v>1</v>
      </c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7"/>
      <c r="AH2" s="7"/>
    </row>
    <row r="3">
      <c r="A3" s="7"/>
      <c r="B3" s="8"/>
      <c r="C3" s="10"/>
      <c r="D3" s="10"/>
      <c r="E3" s="10"/>
      <c r="F3" s="10"/>
      <c r="G3" s="10"/>
      <c r="H3" s="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11" t="s">
        <v>2</v>
      </c>
      <c r="B4" s="12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16" t="s">
        <v>3</v>
      </c>
      <c r="B5" s="8"/>
      <c r="C5" s="17">
        <f>551524+1271774</f>
        <v>1823298</v>
      </c>
      <c r="D5" s="17">
        <f>158558+22656+15157</f>
        <v>196371</v>
      </c>
      <c r="E5" s="17">
        <f>556461+654757+15644</f>
        <v>1226862</v>
      </c>
      <c r="F5" s="17">
        <f>10017+327416+637367+71444</f>
        <v>1046244</v>
      </c>
      <c r="G5" s="17">
        <f>1023279+58262+649176+35573</f>
        <v>1766290</v>
      </c>
      <c r="H5" s="17">
        <f>475578+575771+113700</f>
        <v>1165049</v>
      </c>
      <c r="I5" s="17">
        <f>538597+982570+58391+108212</f>
        <v>1687770</v>
      </c>
      <c r="J5" s="17">
        <f>27203+652602+227186</f>
        <v>906991</v>
      </c>
      <c r="K5" s="17">
        <f>375184++27202</f>
        <v>402386</v>
      </c>
      <c r="L5" s="17">
        <f>340161+539055+30493+96355</f>
        <v>1006064</v>
      </c>
      <c r="M5" s="17">
        <f>607443+14367+428669+93864</f>
        <v>1144343</v>
      </c>
      <c r="N5" s="17">
        <f>363148+344988+50194+23806+89081</f>
        <v>871217</v>
      </c>
      <c r="O5" s="17">
        <f>72951+821972+671088+31188+87189+45032</f>
        <v>1729420</v>
      </c>
      <c r="P5" s="17">
        <f>1619468+473505+83903+39021+38662+134319</f>
        <v>2388878</v>
      </c>
      <c r="Q5" s="17">
        <f>688640+48326+268537</f>
        <v>1005503</v>
      </c>
      <c r="R5" s="17">
        <f>271080+52435</f>
        <v>323515</v>
      </c>
      <c r="S5" s="17">
        <f>13876+424181+49921+683282+41611+70049</f>
        <v>1282920</v>
      </c>
      <c r="T5" s="17">
        <f>402877+290632+40976+392385</f>
        <v>1126870</v>
      </c>
      <c r="U5" s="17">
        <f>2104799+142800+590409+79730+76127</f>
        <v>2993865</v>
      </c>
      <c r="V5" s="17">
        <f>36270+27816+31088+56299+741841+1004454</f>
        <v>1897768</v>
      </c>
      <c r="W5" s="17">
        <f>18832+619580+1116932+137309</f>
        <v>1892653</v>
      </c>
      <c r="X5" s="17">
        <f>117380+1023672+24717</f>
        <v>1165769</v>
      </c>
      <c r="Y5" s="17">
        <f>203471</f>
        <v>203471</v>
      </c>
      <c r="Z5" s="17">
        <f>98747+27292+100800+711568+41158</f>
        <v>979565</v>
      </c>
      <c r="AA5" s="17">
        <f>318787+382909+26871+123059</f>
        <v>851626</v>
      </c>
      <c r="AB5" s="17">
        <f>521830+44790+623592+42490</f>
        <v>1232702</v>
      </c>
      <c r="AC5" s="17">
        <f>886994+603282+78818</f>
        <v>1569094</v>
      </c>
      <c r="AD5" s="17">
        <f>747167+45337+1331509+38063+83102</f>
        <v>2245178</v>
      </c>
      <c r="AE5" s="17">
        <f>1207826+330873</f>
        <v>1538699</v>
      </c>
      <c r="AF5" s="17">
        <f>416169+9122+27900+8868</f>
        <v>462059</v>
      </c>
      <c r="AG5" s="17">
        <v>0.0</v>
      </c>
      <c r="AH5" s="19">
        <f t="shared" ref="AH5:AH8" si="1">SUM(C5:AG5)</f>
        <v>38132440</v>
      </c>
    </row>
    <row r="6">
      <c r="A6" s="16" t="s">
        <v>4</v>
      </c>
      <c r="B6" s="8"/>
      <c r="C6" s="17">
        <v>0.0</v>
      </c>
      <c r="D6" s="17">
        <v>0.0</v>
      </c>
      <c r="E6" s="17">
        <v>30300.0</v>
      </c>
      <c r="F6" s="17">
        <v>22900.0</v>
      </c>
      <c r="G6" s="17">
        <v>0.0</v>
      </c>
      <c r="H6" s="17">
        <v>28480.0</v>
      </c>
      <c r="I6" s="17">
        <v>0.0</v>
      </c>
      <c r="J6" s="17">
        <v>24900.0</v>
      </c>
      <c r="K6" s="17">
        <f>19715+23750</f>
        <v>43465</v>
      </c>
      <c r="L6" s="17">
        <v>0.0</v>
      </c>
      <c r="M6" s="17">
        <v>25100.0</v>
      </c>
      <c r="N6" s="17">
        <v>53200.0</v>
      </c>
      <c r="O6" s="17">
        <v>0.0</v>
      </c>
      <c r="P6" s="17">
        <v>0.0</v>
      </c>
      <c r="Q6" s="17">
        <v>0.0</v>
      </c>
      <c r="R6" s="17">
        <v>25900.0</v>
      </c>
      <c r="S6" s="17">
        <v>0.0</v>
      </c>
      <c r="T6" s="17">
        <v>2250.0</v>
      </c>
      <c r="U6" s="17">
        <v>25900.0</v>
      </c>
      <c r="V6" s="17">
        <v>0.0</v>
      </c>
      <c r="W6" s="17">
        <v>0.0</v>
      </c>
      <c r="X6" s="17">
        <v>26600.0</v>
      </c>
      <c r="Y6" s="17">
        <v>0.0</v>
      </c>
      <c r="Z6" s="17">
        <v>0.0</v>
      </c>
      <c r="AA6" s="17">
        <v>0.0</v>
      </c>
      <c r="AB6" s="17">
        <v>0.0</v>
      </c>
      <c r="AC6" s="17">
        <v>53200.0</v>
      </c>
      <c r="AD6" s="17">
        <v>0.0</v>
      </c>
      <c r="AE6" s="17">
        <v>0.0</v>
      </c>
      <c r="AF6" s="17">
        <v>0.0</v>
      </c>
      <c r="AG6" s="17">
        <v>0.0</v>
      </c>
      <c r="AH6" s="19">
        <f t="shared" si="1"/>
        <v>362195</v>
      </c>
    </row>
    <row r="7">
      <c r="A7" s="16" t="s">
        <v>5</v>
      </c>
      <c r="B7" s="8"/>
      <c r="C7" s="17">
        <v>0.0</v>
      </c>
      <c r="D7" s="17">
        <v>0.0</v>
      </c>
      <c r="E7" s="17">
        <v>0.0</v>
      </c>
      <c r="F7" s="17">
        <v>0.0</v>
      </c>
      <c r="G7" s="17">
        <v>0.0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17">
        <v>0.0</v>
      </c>
      <c r="Z7" s="17">
        <v>240000.0</v>
      </c>
      <c r="AA7" s="17">
        <v>0.0</v>
      </c>
      <c r="AB7" s="17">
        <v>0.0</v>
      </c>
      <c r="AC7" s="17">
        <v>0.0</v>
      </c>
      <c r="AD7" s="17">
        <v>0.0</v>
      </c>
      <c r="AE7" s="17">
        <v>0.0</v>
      </c>
      <c r="AF7" s="17">
        <v>0.0</v>
      </c>
      <c r="AG7" s="17">
        <v>0.0</v>
      </c>
      <c r="AH7" s="19">
        <f t="shared" si="1"/>
        <v>240000</v>
      </c>
    </row>
    <row r="8">
      <c r="A8" s="16" t="s">
        <v>6</v>
      </c>
      <c r="B8" s="8"/>
      <c r="C8" s="17">
        <v>0.0</v>
      </c>
      <c r="D8" s="17">
        <f>140294+611860</f>
        <v>752154</v>
      </c>
      <c r="E8" s="17">
        <v>0.0</v>
      </c>
      <c r="F8" s="17">
        <v>0.0</v>
      </c>
      <c r="G8" s="17">
        <v>0.0</v>
      </c>
      <c r="H8" s="17">
        <v>0.0</v>
      </c>
      <c r="I8" s="17">
        <v>0.0</v>
      </c>
      <c r="J8" s="17">
        <v>0.0</v>
      </c>
      <c r="K8" s="17">
        <f>205643+466211</f>
        <v>671854</v>
      </c>
      <c r="L8" s="17">
        <v>0.0</v>
      </c>
      <c r="M8" s="17">
        <v>0.0</v>
      </c>
      <c r="N8" s="17">
        <v>0.0</v>
      </c>
      <c r="O8" s="17">
        <v>0.0</v>
      </c>
      <c r="P8" s="17">
        <v>0.0</v>
      </c>
      <c r="Q8" s="17">
        <v>0.0</v>
      </c>
      <c r="R8" s="17">
        <f>272531+313497</f>
        <v>586028</v>
      </c>
      <c r="S8" s="17">
        <v>0.0</v>
      </c>
      <c r="T8" s="17">
        <v>0.0</v>
      </c>
      <c r="U8" s="17">
        <v>0.0</v>
      </c>
      <c r="V8" s="17">
        <v>0.0</v>
      </c>
      <c r="W8" s="17">
        <v>0.0</v>
      </c>
      <c r="X8" s="17">
        <v>0.0</v>
      </c>
      <c r="Y8" s="17">
        <f>402802+262746</f>
        <v>665548</v>
      </c>
      <c r="Z8" s="17">
        <v>0.0</v>
      </c>
      <c r="AA8" s="17">
        <v>0.0</v>
      </c>
      <c r="AB8" s="17">
        <v>0.0</v>
      </c>
      <c r="AC8" s="17">
        <v>0.0</v>
      </c>
      <c r="AD8" s="17">
        <v>0.0</v>
      </c>
      <c r="AE8" s="17">
        <v>0.0</v>
      </c>
      <c r="AF8" s="17">
        <f>694787+360794</f>
        <v>1055581</v>
      </c>
      <c r="AG8" s="17">
        <v>0.0</v>
      </c>
      <c r="AH8" s="19">
        <f t="shared" si="1"/>
        <v>3731165</v>
      </c>
    </row>
    <row r="9">
      <c r="A9" s="21" t="s">
        <v>7</v>
      </c>
      <c r="B9" s="8"/>
      <c r="C9" s="22">
        <f t="shared" ref="C9:AH9" si="2">SUM(C5:C8)</f>
        <v>1823298</v>
      </c>
      <c r="D9" s="22">
        <f t="shared" si="2"/>
        <v>948525</v>
      </c>
      <c r="E9" s="22">
        <f t="shared" si="2"/>
        <v>1257162</v>
      </c>
      <c r="F9" s="22">
        <f t="shared" si="2"/>
        <v>1069144</v>
      </c>
      <c r="G9" s="22">
        <f t="shared" si="2"/>
        <v>1766290</v>
      </c>
      <c r="H9" s="22">
        <f t="shared" si="2"/>
        <v>1193529</v>
      </c>
      <c r="I9" s="22">
        <f t="shared" si="2"/>
        <v>1687770</v>
      </c>
      <c r="J9" s="22">
        <f t="shared" si="2"/>
        <v>931891</v>
      </c>
      <c r="K9" s="22">
        <f t="shared" si="2"/>
        <v>1117705</v>
      </c>
      <c r="L9" s="22">
        <f t="shared" si="2"/>
        <v>1006064</v>
      </c>
      <c r="M9" s="22">
        <f t="shared" si="2"/>
        <v>1169443</v>
      </c>
      <c r="N9" s="22">
        <f t="shared" si="2"/>
        <v>924417</v>
      </c>
      <c r="O9" s="22">
        <f t="shared" si="2"/>
        <v>1729420</v>
      </c>
      <c r="P9" s="22">
        <f t="shared" si="2"/>
        <v>2388878</v>
      </c>
      <c r="Q9" s="22">
        <f t="shared" si="2"/>
        <v>1005503</v>
      </c>
      <c r="R9" s="22">
        <f t="shared" si="2"/>
        <v>935443</v>
      </c>
      <c r="S9" s="22">
        <f t="shared" si="2"/>
        <v>1282920</v>
      </c>
      <c r="T9" s="22">
        <f t="shared" si="2"/>
        <v>1129120</v>
      </c>
      <c r="U9" s="22">
        <f t="shared" si="2"/>
        <v>3019765</v>
      </c>
      <c r="V9" s="22">
        <f t="shared" si="2"/>
        <v>1897768</v>
      </c>
      <c r="W9" s="22">
        <f t="shared" si="2"/>
        <v>1892653</v>
      </c>
      <c r="X9" s="22">
        <f t="shared" si="2"/>
        <v>1192369</v>
      </c>
      <c r="Y9" s="22">
        <f t="shared" si="2"/>
        <v>869019</v>
      </c>
      <c r="Z9" s="22">
        <f t="shared" si="2"/>
        <v>1219565</v>
      </c>
      <c r="AA9" s="22">
        <f t="shared" si="2"/>
        <v>851626</v>
      </c>
      <c r="AB9" s="22">
        <f t="shared" si="2"/>
        <v>1232702</v>
      </c>
      <c r="AC9" s="22">
        <f t="shared" si="2"/>
        <v>1622294</v>
      </c>
      <c r="AD9" s="22">
        <f t="shared" si="2"/>
        <v>2245178</v>
      </c>
      <c r="AE9" s="22">
        <f t="shared" si="2"/>
        <v>1538699</v>
      </c>
      <c r="AF9" s="22">
        <f t="shared" si="2"/>
        <v>1517640</v>
      </c>
      <c r="AG9" s="22">
        <f t="shared" si="2"/>
        <v>0</v>
      </c>
      <c r="AH9" s="19">
        <f t="shared" si="2"/>
        <v>42465800</v>
      </c>
    </row>
    <row r="10">
      <c r="A10" s="21" t="s">
        <v>8</v>
      </c>
      <c r="B10" s="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9">
        <f>AH9-AH84</f>
        <v>37749452</v>
      </c>
    </row>
    <row r="11">
      <c r="A11" s="7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7"/>
      <c r="AC11" s="10"/>
      <c r="AD11" s="10"/>
      <c r="AE11" s="10"/>
      <c r="AF11" s="10"/>
      <c r="AG11" s="7"/>
      <c r="AH11" s="10"/>
    </row>
    <row r="12">
      <c r="A12" s="23" t="s">
        <v>9</v>
      </c>
      <c r="B12" s="24">
        <f t="shared" ref="B12:B32" si="4">AH12/$AH$10</f>
        <v>0.3526663116</v>
      </c>
      <c r="C12" s="25">
        <f t="shared" ref="C12:AH12" si="3">sum(C13:C32)</f>
        <v>887001</v>
      </c>
      <c r="D12" s="25">
        <f t="shared" si="3"/>
        <v>398620</v>
      </c>
      <c r="E12" s="25">
        <f t="shared" si="3"/>
        <v>100000</v>
      </c>
      <c r="F12" s="25">
        <f t="shared" si="3"/>
        <v>561664</v>
      </c>
      <c r="G12" s="25">
        <f t="shared" si="3"/>
        <v>644791</v>
      </c>
      <c r="H12" s="25">
        <f t="shared" si="3"/>
        <v>0</v>
      </c>
      <c r="I12" s="25">
        <f t="shared" si="3"/>
        <v>250000</v>
      </c>
      <c r="J12" s="25">
        <f t="shared" si="3"/>
        <v>0</v>
      </c>
      <c r="K12" s="25">
        <f t="shared" si="3"/>
        <v>887135</v>
      </c>
      <c r="L12" s="25">
        <f t="shared" si="3"/>
        <v>1001590</v>
      </c>
      <c r="M12" s="25">
        <f t="shared" si="3"/>
        <v>584029</v>
      </c>
      <c r="N12" s="25">
        <f t="shared" si="3"/>
        <v>450000</v>
      </c>
      <c r="O12" s="25">
        <f t="shared" si="3"/>
        <v>0</v>
      </c>
      <c r="P12" s="25">
        <f t="shared" si="3"/>
        <v>0</v>
      </c>
      <c r="Q12" s="25">
        <f t="shared" si="3"/>
        <v>134000</v>
      </c>
      <c r="R12" s="25">
        <f t="shared" si="3"/>
        <v>1021165</v>
      </c>
      <c r="S12" s="25">
        <f t="shared" si="3"/>
        <v>923890</v>
      </c>
      <c r="T12" s="25">
        <f t="shared" si="3"/>
        <v>621475</v>
      </c>
      <c r="U12" s="25">
        <f t="shared" si="3"/>
        <v>434000</v>
      </c>
      <c r="V12" s="25">
        <f t="shared" si="3"/>
        <v>50000</v>
      </c>
      <c r="W12" s="25">
        <f t="shared" si="3"/>
        <v>250000</v>
      </c>
      <c r="X12" s="25">
        <f t="shared" si="3"/>
        <v>169200</v>
      </c>
      <c r="Y12" s="25">
        <f t="shared" si="3"/>
        <v>1021853</v>
      </c>
      <c r="Z12" s="25">
        <f t="shared" si="3"/>
        <v>1049700</v>
      </c>
      <c r="AA12" s="25">
        <f t="shared" si="3"/>
        <v>485705</v>
      </c>
      <c r="AB12" s="25">
        <f t="shared" si="3"/>
        <v>313684</v>
      </c>
      <c r="AC12" s="25">
        <f t="shared" si="3"/>
        <v>150000</v>
      </c>
      <c r="AD12" s="25">
        <f t="shared" si="3"/>
        <v>100000</v>
      </c>
      <c r="AE12" s="25">
        <f t="shared" si="3"/>
        <v>171960</v>
      </c>
      <c r="AF12" s="25">
        <f t="shared" si="3"/>
        <v>651498</v>
      </c>
      <c r="AG12" s="25">
        <f t="shared" si="3"/>
        <v>0</v>
      </c>
      <c r="AH12" s="26">
        <f t="shared" si="3"/>
        <v>13312960</v>
      </c>
    </row>
    <row r="13">
      <c r="A13" s="16" t="s">
        <v>10</v>
      </c>
      <c r="B13" s="27">
        <f t="shared" si="4"/>
        <v>0.106317093</v>
      </c>
      <c r="C13" s="17">
        <f>83257+100000</f>
        <v>183257</v>
      </c>
      <c r="D13" s="17">
        <v>0.0</v>
      </c>
      <c r="E13" s="17">
        <v>100000.0</v>
      </c>
      <c r="F13" s="17">
        <v>100000.0</v>
      </c>
      <c r="G13" s="17">
        <f>114000+200000</f>
        <v>314000</v>
      </c>
      <c r="H13" s="17">
        <v>0.0</v>
      </c>
      <c r="I13" s="17">
        <v>250000.0</v>
      </c>
      <c r="J13" s="17">
        <v>0.0</v>
      </c>
      <c r="K13" s="17">
        <v>0.0</v>
      </c>
      <c r="L13" s="17">
        <v>100000.0</v>
      </c>
      <c r="M13" s="17">
        <v>400000.0</v>
      </c>
      <c r="N13" s="17">
        <f>100000+300000+50000</f>
        <v>450000</v>
      </c>
      <c r="O13" s="17">
        <v>0.0</v>
      </c>
      <c r="P13" s="17">
        <v>0.0</v>
      </c>
      <c r="Q13" s="17">
        <v>50000.0</v>
      </c>
      <c r="R13" s="17">
        <f>18600+94000</f>
        <v>112600</v>
      </c>
      <c r="S13" s="17">
        <v>100000.0</v>
      </c>
      <c r="T13" s="17">
        <f>24500+77350</f>
        <v>101850</v>
      </c>
      <c r="U13" s="17">
        <v>350000.0</v>
      </c>
      <c r="V13" s="17">
        <v>50000.0</v>
      </c>
      <c r="W13" s="17">
        <v>250000.0</v>
      </c>
      <c r="X13" s="17">
        <f>50000</f>
        <v>50000</v>
      </c>
      <c r="Y13" s="17">
        <v>100000.0</v>
      </c>
      <c r="Z13" s="17">
        <f>100000+100000</f>
        <v>200000</v>
      </c>
      <c r="AA13" s="17">
        <f>200000+201705</f>
        <v>401705</v>
      </c>
      <c r="AB13" s="17">
        <v>0.0</v>
      </c>
      <c r="AC13" s="17">
        <v>150000.0</v>
      </c>
      <c r="AD13" s="17">
        <v>100000.0</v>
      </c>
      <c r="AE13" s="17">
        <v>100000.0</v>
      </c>
      <c r="AF13" s="17">
        <v>0.0</v>
      </c>
      <c r="AG13" s="17">
        <v>0.0</v>
      </c>
      <c r="AH13" s="19">
        <f t="shared" ref="AH13:AH32" si="5">SUM(C13:AG13)</f>
        <v>4013412</v>
      </c>
    </row>
    <row r="14">
      <c r="A14" s="28" t="s">
        <v>12</v>
      </c>
      <c r="B14" s="27">
        <f t="shared" si="4"/>
        <v>0.006315323465</v>
      </c>
      <c r="C14" s="17">
        <v>0.0</v>
      </c>
      <c r="D14" s="17">
        <v>0.0</v>
      </c>
      <c r="E14" s="17">
        <v>0.0</v>
      </c>
      <c r="F14" s="17">
        <v>0.0</v>
      </c>
      <c r="G14" s="17">
        <v>0.0</v>
      </c>
      <c r="H14" s="17">
        <v>0.0</v>
      </c>
      <c r="I14" s="17">
        <v>0.0</v>
      </c>
      <c r="J14" s="17">
        <v>0.0</v>
      </c>
      <c r="K14" s="17">
        <v>0.0</v>
      </c>
      <c r="L14" s="17">
        <v>119200.0</v>
      </c>
      <c r="M14" s="17">
        <v>0.0</v>
      </c>
      <c r="N14" s="17">
        <v>0.0</v>
      </c>
      <c r="O14" s="17">
        <v>0.0</v>
      </c>
      <c r="P14" s="17">
        <v>0.0</v>
      </c>
      <c r="Q14" s="17">
        <v>0.0</v>
      </c>
      <c r="R14" s="17">
        <v>0.0</v>
      </c>
      <c r="S14" s="17">
        <v>0.0</v>
      </c>
      <c r="T14" s="17">
        <v>0.0</v>
      </c>
      <c r="U14" s="17">
        <v>0.0</v>
      </c>
      <c r="V14" s="17">
        <v>0.0</v>
      </c>
      <c r="W14" s="17">
        <v>0.0</v>
      </c>
      <c r="X14" s="17">
        <v>119200.0</v>
      </c>
      <c r="Y14" s="17">
        <v>0.0</v>
      </c>
      <c r="Z14" s="17">
        <v>0.0</v>
      </c>
      <c r="AA14" s="17">
        <v>0.0</v>
      </c>
      <c r="AB14" s="17">
        <v>0.0</v>
      </c>
      <c r="AC14" s="17">
        <v>0.0</v>
      </c>
      <c r="AD14" s="17">
        <v>0.0</v>
      </c>
      <c r="AE14" s="17">
        <v>0.0</v>
      </c>
      <c r="AF14" s="17">
        <v>0.0</v>
      </c>
      <c r="AG14" s="17">
        <v>0.0</v>
      </c>
      <c r="AH14" s="19">
        <f t="shared" si="5"/>
        <v>238400</v>
      </c>
    </row>
    <row r="15">
      <c r="A15" s="16" t="s">
        <v>13</v>
      </c>
      <c r="B15" s="27">
        <f t="shared" si="4"/>
        <v>0.08097034097</v>
      </c>
      <c r="C15" s="17">
        <v>587124.0</v>
      </c>
      <c r="D15" s="17">
        <v>0.0</v>
      </c>
      <c r="E15" s="17">
        <v>0.0</v>
      </c>
      <c r="F15" s="17">
        <v>0.0</v>
      </c>
      <c r="G15" s="17">
        <v>0.0</v>
      </c>
      <c r="H15" s="17">
        <v>0.0</v>
      </c>
      <c r="I15" s="17">
        <v>0.0</v>
      </c>
      <c r="J15" s="17">
        <v>0.0</v>
      </c>
      <c r="K15" s="17">
        <v>618671.0</v>
      </c>
      <c r="L15" s="17">
        <v>0.0</v>
      </c>
      <c r="M15" s="17">
        <v>0.0</v>
      </c>
      <c r="N15" s="17">
        <v>0.0</v>
      </c>
      <c r="O15" s="17">
        <v>0.0</v>
      </c>
      <c r="P15" s="17">
        <v>0.0</v>
      </c>
      <c r="Q15" s="17">
        <v>0.0</v>
      </c>
      <c r="R15" s="17">
        <v>577150.0</v>
      </c>
      <c r="S15" s="17">
        <v>0.0</v>
      </c>
      <c r="T15" s="17">
        <v>0.0</v>
      </c>
      <c r="U15" s="17">
        <v>0.0</v>
      </c>
      <c r="V15" s="17">
        <v>0.0</v>
      </c>
      <c r="W15" s="17">
        <v>0.0</v>
      </c>
      <c r="X15" s="17">
        <v>0.0</v>
      </c>
      <c r="Y15" s="17">
        <v>645348.0</v>
      </c>
      <c r="Z15" s="17">
        <v>0.0</v>
      </c>
      <c r="AA15" s="17">
        <v>0.0</v>
      </c>
      <c r="AB15" s="17">
        <v>0.0</v>
      </c>
      <c r="AC15" s="17">
        <v>0.0</v>
      </c>
      <c r="AD15" s="17">
        <v>0.0</v>
      </c>
      <c r="AE15" s="17">
        <v>0.0</v>
      </c>
      <c r="AF15" s="17">
        <v>628293.0</v>
      </c>
      <c r="AG15" s="17">
        <v>0.0</v>
      </c>
      <c r="AH15" s="19">
        <f t="shared" si="5"/>
        <v>3056586</v>
      </c>
    </row>
    <row r="16">
      <c r="A16" s="28" t="s">
        <v>14</v>
      </c>
      <c r="B16" s="27">
        <f t="shared" si="4"/>
        <v>0.008158317106</v>
      </c>
      <c r="C16" s="17">
        <v>0.0</v>
      </c>
      <c r="D16" s="17">
        <v>0.0</v>
      </c>
      <c r="E16" s="17">
        <v>0.0</v>
      </c>
      <c r="F16" s="17">
        <v>0.0</v>
      </c>
      <c r="G16" s="17">
        <v>0.0</v>
      </c>
      <c r="H16" s="17">
        <v>0.0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7">
        <v>0.0</v>
      </c>
      <c r="P16" s="17">
        <v>0.0</v>
      </c>
      <c r="Q16" s="17">
        <v>0.0</v>
      </c>
      <c r="R16" s="17">
        <v>0.0</v>
      </c>
      <c r="S16" s="17">
        <v>0.0</v>
      </c>
      <c r="T16" s="17">
        <v>153986.0</v>
      </c>
      <c r="U16" s="17">
        <v>0.0</v>
      </c>
      <c r="V16" s="17">
        <v>0.0</v>
      </c>
      <c r="W16" s="17">
        <v>0.0</v>
      </c>
      <c r="X16" s="17">
        <v>0.0</v>
      </c>
      <c r="Y16" s="17">
        <v>0.0</v>
      </c>
      <c r="Z16" s="17">
        <v>0.0</v>
      </c>
      <c r="AA16" s="17">
        <v>0.0</v>
      </c>
      <c r="AB16" s="17">
        <v>153986.0</v>
      </c>
      <c r="AC16" s="17">
        <v>0.0</v>
      </c>
      <c r="AD16" s="17">
        <v>0.0</v>
      </c>
      <c r="AE16" s="17">
        <v>0.0</v>
      </c>
      <c r="AF16" s="17">
        <v>0.0</v>
      </c>
      <c r="AG16" s="17">
        <v>0.0</v>
      </c>
      <c r="AH16" s="19">
        <f t="shared" si="5"/>
        <v>307972</v>
      </c>
    </row>
    <row r="17">
      <c r="A17" s="28" t="s">
        <v>15</v>
      </c>
      <c r="B17" s="27">
        <f t="shared" si="4"/>
        <v>0.02002678079</v>
      </c>
      <c r="C17" s="17">
        <v>0.0</v>
      </c>
      <c r="D17" s="17">
        <v>0.0</v>
      </c>
      <c r="E17" s="17">
        <v>0.0</v>
      </c>
      <c r="F17" s="17">
        <v>336000.0</v>
      </c>
      <c r="G17" s="17">
        <v>0.0</v>
      </c>
      <c r="H17" s="17">
        <v>0.0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7">
        <v>0.0</v>
      </c>
      <c r="O17" s="17">
        <v>0.0</v>
      </c>
      <c r="P17" s="17">
        <v>0.0</v>
      </c>
      <c r="Q17" s="17">
        <v>0.0</v>
      </c>
      <c r="R17" s="17">
        <v>0.0</v>
      </c>
      <c r="S17" s="17">
        <v>420000.0</v>
      </c>
      <c r="T17" s="17">
        <v>0.0</v>
      </c>
      <c r="U17" s="17">
        <v>0.0</v>
      </c>
      <c r="V17" s="17">
        <v>0.0</v>
      </c>
      <c r="W17" s="17">
        <v>0.0</v>
      </c>
      <c r="X17" s="17">
        <v>0.0</v>
      </c>
      <c r="Y17" s="17">
        <v>0.0</v>
      </c>
      <c r="Z17" s="17">
        <v>0.0</v>
      </c>
      <c r="AA17" s="17">
        <v>0.0</v>
      </c>
      <c r="AB17" s="17">
        <v>0.0</v>
      </c>
      <c r="AC17" s="17">
        <v>0.0</v>
      </c>
      <c r="AD17" s="17">
        <v>0.0</v>
      </c>
      <c r="AE17" s="17">
        <v>0.0</v>
      </c>
      <c r="AF17" s="17">
        <v>0.0</v>
      </c>
      <c r="AG17" s="17">
        <v>0.0</v>
      </c>
      <c r="AH17" s="19">
        <f t="shared" si="5"/>
        <v>756000</v>
      </c>
    </row>
    <row r="18">
      <c r="A18" s="29" t="s">
        <v>16</v>
      </c>
      <c r="B18" s="27">
        <f t="shared" si="4"/>
        <v>0.01402801821</v>
      </c>
      <c r="C18" s="17">
        <v>0.0</v>
      </c>
      <c r="D18" s="17">
        <v>0.0</v>
      </c>
      <c r="E18" s="17">
        <v>0.0</v>
      </c>
      <c r="F18" s="17">
        <v>0.0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L18" s="17">
        <v>190400.0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17">
        <v>0.0</v>
      </c>
      <c r="T18" s="17">
        <v>0.0</v>
      </c>
      <c r="U18" s="17">
        <v>0.0</v>
      </c>
      <c r="V18" s="17">
        <v>0.0</v>
      </c>
      <c r="W18" s="17">
        <v>0.0</v>
      </c>
      <c r="X18" s="17">
        <v>0.0</v>
      </c>
      <c r="Y18" s="17">
        <v>0.0</v>
      </c>
      <c r="Z18" s="17">
        <v>339150.0</v>
      </c>
      <c r="AA18" s="17">
        <v>0.0</v>
      </c>
      <c r="AB18" s="17">
        <v>0.0</v>
      </c>
      <c r="AC18" s="17">
        <v>0.0</v>
      </c>
      <c r="AD18" s="17">
        <v>0.0</v>
      </c>
      <c r="AE18" s="17">
        <v>0.0</v>
      </c>
      <c r="AF18" s="17">
        <v>0.0</v>
      </c>
      <c r="AG18" s="17">
        <v>0.0</v>
      </c>
      <c r="AH18" s="19">
        <f t="shared" si="5"/>
        <v>529550</v>
      </c>
    </row>
    <row r="19">
      <c r="A19" s="29" t="s">
        <v>17</v>
      </c>
      <c r="B19" s="27">
        <f t="shared" si="4"/>
        <v>0.04617418022</v>
      </c>
      <c r="C19" s="17">
        <v>0.0</v>
      </c>
      <c r="D19" s="17">
        <v>398620.0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507990.0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403890.0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432550.0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</v>
      </c>
      <c r="AH19" s="19">
        <f t="shared" si="5"/>
        <v>1743050</v>
      </c>
    </row>
    <row r="20">
      <c r="A20" s="28" t="s">
        <v>102</v>
      </c>
      <c r="B20" s="27">
        <f t="shared" si="4"/>
        <v>0.01335118719</v>
      </c>
      <c r="C20" s="17">
        <v>0.0</v>
      </c>
      <c r="D20" s="17">
        <v>0.0</v>
      </c>
      <c r="E20" s="17">
        <v>0.0</v>
      </c>
      <c r="F20" s="17">
        <v>0.0</v>
      </c>
      <c r="G20" s="17">
        <v>84000.0</v>
      </c>
      <c r="H20" s="17">
        <v>0.0</v>
      </c>
      <c r="I20" s="17">
        <v>0.0</v>
      </c>
      <c r="J20" s="17">
        <v>0.0</v>
      </c>
      <c r="K20" s="17">
        <v>0.0</v>
      </c>
      <c r="L20" s="17">
        <v>84000.0</v>
      </c>
      <c r="M20" s="17">
        <v>0.0</v>
      </c>
      <c r="N20" s="17">
        <v>0.0</v>
      </c>
      <c r="O20" s="17">
        <v>0.0</v>
      </c>
      <c r="P20" s="17">
        <v>0.0</v>
      </c>
      <c r="Q20" s="17">
        <v>84000.0</v>
      </c>
      <c r="R20" s="17">
        <v>0.0</v>
      </c>
      <c r="S20" s="17">
        <v>0.0</v>
      </c>
      <c r="T20" s="17">
        <v>0.0</v>
      </c>
      <c r="U20" s="17">
        <v>84000.0</v>
      </c>
      <c r="V20" s="17">
        <v>0.0</v>
      </c>
      <c r="W20" s="17">
        <v>0.0</v>
      </c>
      <c r="X20" s="17">
        <v>0.0</v>
      </c>
      <c r="Y20" s="17">
        <v>84000.0</v>
      </c>
      <c r="Z20" s="17">
        <v>0.0</v>
      </c>
      <c r="AA20" s="17">
        <v>84000.0</v>
      </c>
      <c r="AB20" s="17">
        <v>0.0</v>
      </c>
      <c r="AC20" s="17">
        <v>0.0</v>
      </c>
      <c r="AD20" s="17">
        <v>0.0</v>
      </c>
      <c r="AE20" s="17">
        <v>0.0</v>
      </c>
      <c r="AF20" s="17">
        <v>0.0</v>
      </c>
      <c r="AG20" s="17">
        <v>0.0</v>
      </c>
      <c r="AH20" s="19">
        <f t="shared" si="5"/>
        <v>504000</v>
      </c>
    </row>
    <row r="21">
      <c r="A21" s="28" t="s">
        <v>18</v>
      </c>
      <c r="B21" s="27">
        <f t="shared" si="4"/>
        <v>0.008007003651</v>
      </c>
      <c r="C21" s="17">
        <v>116620.0</v>
      </c>
      <c r="D21" s="17">
        <v>0.0</v>
      </c>
      <c r="E21" s="17">
        <v>0.0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7">
        <v>0.0</v>
      </c>
      <c r="R21" s="17">
        <v>0.0</v>
      </c>
      <c r="S21" s="17">
        <v>0.0</v>
      </c>
      <c r="T21" s="17">
        <f>80920+104720</f>
        <v>185640</v>
      </c>
      <c r="U21" s="17">
        <v>0.0</v>
      </c>
      <c r="V21" s="17">
        <v>0.0</v>
      </c>
      <c r="W21" s="17">
        <v>0.0</v>
      </c>
      <c r="X21" s="17">
        <v>0.0</v>
      </c>
      <c r="Y21" s="17">
        <v>0.0</v>
      </c>
      <c r="Z21" s="17">
        <v>0.0</v>
      </c>
      <c r="AA21" s="17">
        <v>0.0</v>
      </c>
      <c r="AB21" s="17">
        <v>0.0</v>
      </c>
      <c r="AC21" s="17">
        <v>0.0</v>
      </c>
      <c r="AD21" s="17">
        <v>0.0</v>
      </c>
      <c r="AE21" s="17">
        <v>0.0</v>
      </c>
      <c r="AF21" s="17">
        <v>0.0</v>
      </c>
      <c r="AG21" s="17">
        <v>0.0</v>
      </c>
      <c r="AH21" s="19">
        <f t="shared" si="5"/>
        <v>302260</v>
      </c>
    </row>
    <row r="22">
      <c r="A22" s="16" t="s">
        <v>20</v>
      </c>
      <c r="B22" s="27">
        <f t="shared" si="4"/>
        <v>0.004618212736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0.0</v>
      </c>
      <c r="Q22" s="17">
        <v>0.0</v>
      </c>
      <c r="R22" s="17">
        <v>174335.0</v>
      </c>
      <c r="S22" s="17">
        <v>0.0</v>
      </c>
      <c r="T22" s="17">
        <v>0.0</v>
      </c>
      <c r="U22" s="17">
        <v>0.0</v>
      </c>
      <c r="V22" s="17">
        <v>0.0</v>
      </c>
      <c r="W22" s="17">
        <v>0.0</v>
      </c>
      <c r="X22" s="17">
        <v>0.0</v>
      </c>
      <c r="Y22" s="17">
        <v>0.0</v>
      </c>
      <c r="Z22" s="17">
        <v>0.0</v>
      </c>
      <c r="AA22" s="17">
        <v>0.0</v>
      </c>
      <c r="AB22" s="17">
        <v>0.0</v>
      </c>
      <c r="AC22" s="17">
        <v>0.0</v>
      </c>
      <c r="AD22" s="17">
        <v>0.0</v>
      </c>
      <c r="AE22" s="17">
        <v>0.0</v>
      </c>
      <c r="AF22" s="17">
        <v>0.0</v>
      </c>
      <c r="AG22" s="17">
        <v>0.0</v>
      </c>
      <c r="AH22" s="19">
        <f t="shared" si="5"/>
        <v>174335</v>
      </c>
    </row>
    <row r="23">
      <c r="A23" s="16" t="s">
        <v>22</v>
      </c>
      <c r="B23" s="27">
        <f t="shared" si="4"/>
        <v>0</v>
      </c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7">
        <v>0.0</v>
      </c>
      <c r="O23" s="17">
        <v>0.0</v>
      </c>
      <c r="P23" s="17">
        <v>0.0</v>
      </c>
      <c r="Q23" s="17">
        <v>0.0</v>
      </c>
      <c r="R23" s="17">
        <v>0.0</v>
      </c>
      <c r="S23" s="17">
        <v>0.0</v>
      </c>
      <c r="T23" s="17">
        <v>0.0</v>
      </c>
      <c r="U23" s="17">
        <v>0.0</v>
      </c>
      <c r="V23" s="17">
        <v>0.0</v>
      </c>
      <c r="W23" s="17">
        <v>0.0</v>
      </c>
      <c r="X23" s="17">
        <v>0.0</v>
      </c>
      <c r="Y23" s="17">
        <v>0.0</v>
      </c>
      <c r="Z23" s="17">
        <v>0.0</v>
      </c>
      <c r="AA23" s="17">
        <v>0.0</v>
      </c>
      <c r="AB23" s="17">
        <v>0.0</v>
      </c>
      <c r="AC23" s="17">
        <v>0.0</v>
      </c>
      <c r="AD23" s="17">
        <v>0.0</v>
      </c>
      <c r="AE23" s="17">
        <v>0.0</v>
      </c>
      <c r="AF23" s="17">
        <v>0.0</v>
      </c>
      <c r="AG23" s="17">
        <v>0.0</v>
      </c>
      <c r="AH23" s="19">
        <f t="shared" si="5"/>
        <v>0</v>
      </c>
    </row>
    <row r="24">
      <c r="A24" s="16" t="s">
        <v>23</v>
      </c>
      <c r="B24" s="27">
        <f t="shared" si="4"/>
        <v>0.005901224738</v>
      </c>
      <c r="C24" s="17">
        <v>0.0</v>
      </c>
      <c r="D24" s="17">
        <v>0.0</v>
      </c>
      <c r="E24" s="17">
        <v>0.0</v>
      </c>
      <c r="F24" s="17">
        <v>0.0</v>
      </c>
      <c r="G24" s="17">
        <v>0.0</v>
      </c>
      <c r="H24" s="17">
        <v>0.0</v>
      </c>
      <c r="I24" s="17">
        <v>0.0</v>
      </c>
      <c r="J24" s="17">
        <v>0.0</v>
      </c>
      <c r="K24" s="17">
        <v>111384.0</v>
      </c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  <c r="R24" s="17">
        <v>0.0</v>
      </c>
      <c r="S24" s="17">
        <v>0.0</v>
      </c>
      <c r="T24" s="17">
        <v>0.0</v>
      </c>
      <c r="U24" s="17">
        <v>0.0</v>
      </c>
      <c r="V24" s="17">
        <v>0.0</v>
      </c>
      <c r="W24" s="17">
        <v>0.0</v>
      </c>
      <c r="X24" s="17">
        <v>0.0</v>
      </c>
      <c r="Y24" s="17">
        <v>111384.0</v>
      </c>
      <c r="Z24" s="17">
        <v>0.0</v>
      </c>
      <c r="AA24" s="17">
        <v>0.0</v>
      </c>
      <c r="AB24" s="17">
        <v>0.0</v>
      </c>
      <c r="AC24" s="17">
        <v>0.0</v>
      </c>
      <c r="AD24" s="17">
        <v>0.0</v>
      </c>
      <c r="AE24" s="17">
        <v>0.0</v>
      </c>
      <c r="AF24" s="17">
        <v>0.0</v>
      </c>
      <c r="AG24" s="17">
        <v>0.0</v>
      </c>
      <c r="AH24" s="19">
        <f t="shared" si="5"/>
        <v>222768</v>
      </c>
    </row>
    <row r="25">
      <c r="A25" s="16" t="s">
        <v>24</v>
      </c>
      <c r="B25" s="27">
        <f t="shared" si="4"/>
        <v>0.001844132731</v>
      </c>
      <c r="C25" s="17">
        <v>0.0</v>
      </c>
      <c r="D25" s="17">
        <v>0.0</v>
      </c>
      <c r="E25" s="17">
        <v>0.0</v>
      </c>
      <c r="F25" s="17">
        <v>0.0</v>
      </c>
      <c r="G25" s="17">
        <v>0.0</v>
      </c>
      <c r="H25" s="17">
        <v>0.0</v>
      </c>
      <c r="I25" s="17">
        <v>0.0</v>
      </c>
      <c r="J25" s="17">
        <v>0.0</v>
      </c>
      <c r="K25" s="17">
        <v>0.0</v>
      </c>
      <c r="L25" s="17">
        <v>0.0</v>
      </c>
      <c r="M25" s="17">
        <v>23205.0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  <c r="S25" s="17">
        <v>0.0</v>
      </c>
      <c r="T25" s="17">
        <v>23205.0</v>
      </c>
      <c r="U25" s="17">
        <v>0.0</v>
      </c>
      <c r="V25" s="17">
        <v>0.0</v>
      </c>
      <c r="W25" s="17">
        <v>0.0</v>
      </c>
      <c r="X25" s="17">
        <v>0.0</v>
      </c>
      <c r="Y25" s="17">
        <v>0.0</v>
      </c>
      <c r="Z25" s="17">
        <v>0.0</v>
      </c>
      <c r="AA25" s="17">
        <v>0.0</v>
      </c>
      <c r="AB25" s="17">
        <v>0.0</v>
      </c>
      <c r="AC25" s="17">
        <v>0.0</v>
      </c>
      <c r="AD25" s="17">
        <v>0.0</v>
      </c>
      <c r="AE25" s="17">
        <v>0.0</v>
      </c>
      <c r="AF25" s="17">
        <v>23205.0</v>
      </c>
      <c r="AG25" s="17">
        <v>0.0</v>
      </c>
      <c r="AH25" s="19">
        <f t="shared" si="5"/>
        <v>69615</v>
      </c>
    </row>
    <row r="26">
      <c r="A26" s="16" t="s">
        <v>25</v>
      </c>
      <c r="B26" s="27">
        <f t="shared" si="4"/>
        <v>0.01588160803</v>
      </c>
      <c r="C26" s="17">
        <v>0.0</v>
      </c>
      <c r="D26" s="17">
        <v>0.0</v>
      </c>
      <c r="E26" s="17">
        <v>0.0</v>
      </c>
      <c r="F26" s="17">
        <v>125664.0</v>
      </c>
      <c r="G26" s="17">
        <v>0.0</v>
      </c>
      <c r="H26" s="17">
        <v>0.0</v>
      </c>
      <c r="I26" s="17">
        <v>0.0</v>
      </c>
      <c r="J26" s="17">
        <v>0.0</v>
      </c>
      <c r="K26" s="17">
        <v>157080.0</v>
      </c>
      <c r="L26" s="17">
        <v>0.0</v>
      </c>
      <c r="M26" s="17">
        <v>0.0</v>
      </c>
      <c r="N26" s="17">
        <v>0.0</v>
      </c>
      <c r="O26" s="17">
        <v>0.0</v>
      </c>
      <c r="P26" s="17">
        <v>0.0</v>
      </c>
      <c r="Q26" s="17">
        <v>0.0</v>
      </c>
      <c r="R26" s="17">
        <v>157080.0</v>
      </c>
      <c r="S26" s="17">
        <v>0.0</v>
      </c>
      <c r="T26" s="17">
        <v>0.0</v>
      </c>
      <c r="U26" s="17">
        <v>0.0</v>
      </c>
      <c r="V26" s="17">
        <v>0.0</v>
      </c>
      <c r="W26" s="17">
        <v>0.0</v>
      </c>
      <c r="X26" s="17">
        <v>0.0</v>
      </c>
      <c r="Y26" s="17">
        <v>0.0</v>
      </c>
      <c r="Z26" s="17">
        <v>0.0</v>
      </c>
      <c r="AA26" s="17">
        <v>0.0</v>
      </c>
      <c r="AB26" s="17">
        <v>159698.0</v>
      </c>
      <c r="AC26" s="17">
        <v>0.0</v>
      </c>
      <c r="AD26" s="17">
        <v>0.0</v>
      </c>
      <c r="AE26" s="17">
        <v>0.0</v>
      </c>
      <c r="AF26" s="17">
        <v>0.0</v>
      </c>
      <c r="AG26" s="17">
        <v>0.0</v>
      </c>
      <c r="AH26" s="19">
        <f t="shared" si="5"/>
        <v>599522</v>
      </c>
    </row>
    <row r="27">
      <c r="A27" s="16" t="s">
        <v>26</v>
      </c>
      <c r="B27" s="27">
        <f t="shared" si="4"/>
        <v>0</v>
      </c>
      <c r="C27" s="17">
        <v>0.0</v>
      </c>
      <c r="D27" s="17">
        <v>0.0</v>
      </c>
      <c r="E27" s="17">
        <v>0.0</v>
      </c>
      <c r="F27" s="17">
        <v>0.0</v>
      </c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17">
        <v>0.0</v>
      </c>
      <c r="S27" s="17">
        <v>0.0</v>
      </c>
      <c r="T27" s="17">
        <v>0.0</v>
      </c>
      <c r="U27" s="17">
        <v>0.0</v>
      </c>
      <c r="V27" s="17">
        <v>0.0</v>
      </c>
      <c r="W27" s="17">
        <v>0.0</v>
      </c>
      <c r="X27" s="17">
        <v>0.0</v>
      </c>
      <c r="Y27" s="17">
        <v>0.0</v>
      </c>
      <c r="Z27" s="17">
        <v>0.0</v>
      </c>
      <c r="AA27" s="17">
        <v>0.0</v>
      </c>
      <c r="AB27" s="17">
        <v>0.0</v>
      </c>
      <c r="AC27" s="17">
        <v>0.0</v>
      </c>
      <c r="AD27" s="17">
        <v>0.0</v>
      </c>
      <c r="AE27" s="17">
        <v>0.0</v>
      </c>
      <c r="AF27" s="17">
        <v>0.0</v>
      </c>
      <c r="AG27" s="17">
        <v>0.0</v>
      </c>
      <c r="AH27" s="19">
        <f t="shared" si="5"/>
        <v>0</v>
      </c>
    </row>
    <row r="28">
      <c r="A28" s="16" t="s">
        <v>27</v>
      </c>
      <c r="B28" s="27">
        <f t="shared" si="4"/>
        <v>0.01021334032</v>
      </c>
      <c r="C28" s="17">
        <v>0.0</v>
      </c>
      <c r="D28" s="17">
        <v>0.0</v>
      </c>
      <c r="E28" s="17">
        <v>0.0</v>
      </c>
      <c r="F28" s="17">
        <v>0.0</v>
      </c>
      <c r="G28" s="17">
        <v>156794.0</v>
      </c>
      <c r="H28" s="17">
        <v>0.0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0.0</v>
      </c>
      <c r="R28" s="17">
        <v>0.0</v>
      </c>
      <c r="S28" s="17">
        <v>0.0</v>
      </c>
      <c r="T28" s="17">
        <v>156794.0</v>
      </c>
      <c r="U28" s="17">
        <v>0.0</v>
      </c>
      <c r="V28" s="17">
        <v>0.0</v>
      </c>
      <c r="W28" s="17">
        <v>0.0</v>
      </c>
      <c r="X28" s="17">
        <v>0.0</v>
      </c>
      <c r="Y28" s="17">
        <v>0.0</v>
      </c>
      <c r="Z28" s="17">
        <v>0.0</v>
      </c>
      <c r="AA28" s="17">
        <v>0.0</v>
      </c>
      <c r="AB28" s="17">
        <v>0.0</v>
      </c>
      <c r="AC28" s="17">
        <v>0.0</v>
      </c>
      <c r="AD28" s="17">
        <v>0.0</v>
      </c>
      <c r="AE28" s="17">
        <v>71960.0</v>
      </c>
      <c r="AF28" s="17">
        <v>0.0</v>
      </c>
      <c r="AG28" s="17">
        <v>0.0</v>
      </c>
      <c r="AH28" s="19">
        <f t="shared" si="5"/>
        <v>385548</v>
      </c>
    </row>
    <row r="29">
      <c r="A29" s="16" t="s">
        <v>28</v>
      </c>
      <c r="B29" s="27">
        <f t="shared" si="4"/>
        <v>0.002384061098</v>
      </c>
      <c r="C29" s="17">
        <v>0.0</v>
      </c>
      <c r="D29" s="17">
        <v>0.0</v>
      </c>
      <c r="E29" s="17">
        <v>0.0</v>
      </c>
      <c r="F29" s="17">
        <v>0.0</v>
      </c>
      <c r="G29" s="17">
        <v>89997.0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0.0</v>
      </c>
      <c r="AG29" s="17">
        <v>0.0</v>
      </c>
      <c r="AH29" s="19">
        <f t="shared" si="5"/>
        <v>89997</v>
      </c>
    </row>
    <row r="30">
      <c r="A30" s="16" t="s">
        <v>29</v>
      </c>
      <c r="B30" s="27">
        <f t="shared" si="4"/>
        <v>0.002194045095</v>
      </c>
      <c r="C30" s="17">
        <v>0.0</v>
      </c>
      <c r="D30" s="17">
        <v>0.0</v>
      </c>
      <c r="E30" s="17">
        <v>0.0</v>
      </c>
      <c r="F30" s="17">
        <v>0.0</v>
      </c>
      <c r="G30" s="17">
        <v>0.0</v>
      </c>
      <c r="H30" s="17">
        <v>0.0</v>
      </c>
      <c r="I30" s="17">
        <v>0.0</v>
      </c>
      <c r="J30" s="17">
        <v>0.0</v>
      </c>
      <c r="K30" s="17">
        <v>0.0</v>
      </c>
      <c r="L30" s="17">
        <v>0.0</v>
      </c>
      <c r="M30" s="17">
        <v>82824.0</v>
      </c>
      <c r="N30" s="17">
        <v>0.0</v>
      </c>
      <c r="O30" s="17">
        <v>0.0</v>
      </c>
      <c r="P30" s="17">
        <v>0.0</v>
      </c>
      <c r="Q30" s="17">
        <v>0.0</v>
      </c>
      <c r="R30" s="17">
        <v>0.0</v>
      </c>
      <c r="S30" s="17">
        <v>0.0</v>
      </c>
      <c r="T30" s="17">
        <v>0.0</v>
      </c>
      <c r="U30" s="17">
        <v>0.0</v>
      </c>
      <c r="V30" s="17">
        <v>0.0</v>
      </c>
      <c r="W30" s="17">
        <v>0.0</v>
      </c>
      <c r="X30" s="17">
        <v>0.0</v>
      </c>
      <c r="Y30" s="17">
        <v>0.0</v>
      </c>
      <c r="Z30" s="17">
        <v>0.0</v>
      </c>
      <c r="AA30" s="17">
        <v>0.0</v>
      </c>
      <c r="AB30" s="17">
        <v>0.0</v>
      </c>
      <c r="AC30" s="17">
        <v>0.0</v>
      </c>
      <c r="AD30" s="17">
        <v>0.0</v>
      </c>
      <c r="AE30" s="17">
        <v>0.0</v>
      </c>
      <c r="AF30" s="17">
        <v>0.0</v>
      </c>
      <c r="AG30" s="17">
        <v>0.0</v>
      </c>
      <c r="AH30" s="19">
        <f t="shared" si="5"/>
        <v>82824</v>
      </c>
    </row>
    <row r="31">
      <c r="A31" s="16" t="s">
        <v>30</v>
      </c>
      <c r="B31" s="27">
        <f t="shared" si="4"/>
        <v>0.0001006637129</v>
      </c>
      <c r="C31" s="17">
        <v>0.0</v>
      </c>
      <c r="D31" s="17">
        <v>0.0</v>
      </c>
      <c r="E31" s="17">
        <v>0.0</v>
      </c>
      <c r="F31" s="17">
        <v>0.0</v>
      </c>
      <c r="G31" s="17">
        <v>0.0</v>
      </c>
      <c r="H31" s="17">
        <v>0.0</v>
      </c>
      <c r="I31" s="17">
        <v>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7">
        <v>0.0</v>
      </c>
      <c r="S31" s="17">
        <v>0.0</v>
      </c>
      <c r="T31" s="17">
        <v>0.0</v>
      </c>
      <c r="U31" s="17">
        <v>0.0</v>
      </c>
      <c r="V31" s="17">
        <v>0.0</v>
      </c>
      <c r="W31" s="17">
        <v>0.0</v>
      </c>
      <c r="X31" s="17">
        <v>0.0</v>
      </c>
      <c r="Y31" s="17">
        <v>3800.0</v>
      </c>
      <c r="Z31" s="17">
        <v>0.0</v>
      </c>
      <c r="AA31" s="17">
        <v>0.0</v>
      </c>
      <c r="AB31" s="17">
        <v>0.0</v>
      </c>
      <c r="AC31" s="17">
        <v>0.0</v>
      </c>
      <c r="AD31" s="17">
        <v>0.0</v>
      </c>
      <c r="AE31" s="17">
        <v>0.0</v>
      </c>
      <c r="AF31" s="17">
        <v>0.0</v>
      </c>
      <c r="AG31" s="17">
        <v>0.0</v>
      </c>
      <c r="AH31" s="19">
        <f t="shared" si="5"/>
        <v>3800</v>
      </c>
    </row>
    <row r="32">
      <c r="A32" s="16" t="s">
        <v>31</v>
      </c>
      <c r="B32" s="27">
        <f t="shared" si="4"/>
        <v>0.006180778465</v>
      </c>
      <c r="C32" s="17">
        <v>0.0</v>
      </c>
      <c r="D32" s="17">
        <v>0.0</v>
      </c>
      <c r="E32" s="17">
        <v>0.0</v>
      </c>
      <c r="F32" s="17">
        <v>0.0</v>
      </c>
      <c r="G32" s="17">
        <v>0.0</v>
      </c>
      <c r="H32" s="17">
        <v>0.0</v>
      </c>
      <c r="I32" s="17">
        <v>0.0</v>
      </c>
      <c r="J32" s="17">
        <v>0.0</v>
      </c>
      <c r="K32" s="17">
        <v>0.0</v>
      </c>
      <c r="L32" s="17">
        <v>0.0</v>
      </c>
      <c r="M32" s="17">
        <v>78000.0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  <c r="S32" s="17">
        <v>0.0</v>
      </c>
      <c r="T32" s="17">
        <v>0.0</v>
      </c>
      <c r="U32" s="17">
        <v>0.0</v>
      </c>
      <c r="V32" s="17">
        <v>0.0</v>
      </c>
      <c r="W32" s="17">
        <v>0.0</v>
      </c>
      <c r="X32" s="17">
        <v>0.0</v>
      </c>
      <c r="Y32" s="17">
        <v>77321.0</v>
      </c>
      <c r="Z32" s="17">
        <v>78000.0</v>
      </c>
      <c r="AA32" s="17">
        <v>0.0</v>
      </c>
      <c r="AB32" s="17">
        <v>0.0</v>
      </c>
      <c r="AC32" s="17">
        <v>0.0</v>
      </c>
      <c r="AD32" s="17">
        <v>0.0</v>
      </c>
      <c r="AE32" s="17">
        <v>0.0</v>
      </c>
      <c r="AF32" s="17">
        <v>0.0</v>
      </c>
      <c r="AG32" s="17">
        <v>0.0</v>
      </c>
      <c r="AH32" s="19">
        <f t="shared" si="5"/>
        <v>233321</v>
      </c>
    </row>
    <row r="33">
      <c r="A33" s="7"/>
      <c r="B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7"/>
      <c r="AH33" s="7"/>
    </row>
    <row r="34">
      <c r="A34" s="31" t="s">
        <v>32</v>
      </c>
      <c r="B34" s="32">
        <f t="shared" ref="B34:B63" si="7">AH34/$AH$10</f>
        <v>0.1013551667</v>
      </c>
      <c r="C34" s="33">
        <f t="shared" ref="C34:AH34" si="6">sum(C35+C55+C65)</f>
        <v>0</v>
      </c>
      <c r="D34" s="33">
        <f t="shared" si="6"/>
        <v>100000</v>
      </c>
      <c r="E34" s="33">
        <f t="shared" si="6"/>
        <v>58245</v>
      </c>
      <c r="F34" s="33">
        <f t="shared" si="6"/>
        <v>0</v>
      </c>
      <c r="G34" s="33">
        <f t="shared" si="6"/>
        <v>747239</v>
      </c>
      <c r="H34" s="33">
        <f t="shared" si="6"/>
        <v>0</v>
      </c>
      <c r="I34" s="33">
        <f t="shared" si="6"/>
        <v>0</v>
      </c>
      <c r="J34" s="33">
        <f t="shared" si="6"/>
        <v>4041</v>
      </c>
      <c r="K34" s="33">
        <f t="shared" si="6"/>
        <v>1868871</v>
      </c>
      <c r="L34" s="33">
        <f t="shared" si="6"/>
        <v>0</v>
      </c>
      <c r="M34" s="33">
        <f t="shared" si="6"/>
        <v>0</v>
      </c>
      <c r="N34" s="33">
        <f t="shared" si="6"/>
        <v>11811</v>
      </c>
      <c r="O34" s="33">
        <f t="shared" si="6"/>
        <v>0</v>
      </c>
      <c r="P34" s="33">
        <f t="shared" si="6"/>
        <v>0</v>
      </c>
      <c r="Q34" s="33">
        <f t="shared" si="6"/>
        <v>0</v>
      </c>
      <c r="R34" s="33">
        <f t="shared" si="6"/>
        <v>11980</v>
      </c>
      <c r="S34" s="33">
        <f t="shared" si="6"/>
        <v>0</v>
      </c>
      <c r="T34" s="33">
        <f t="shared" si="6"/>
        <v>41900</v>
      </c>
      <c r="U34" s="33">
        <f t="shared" si="6"/>
        <v>436724</v>
      </c>
      <c r="V34" s="33">
        <f t="shared" si="6"/>
        <v>0</v>
      </c>
      <c r="W34" s="33">
        <f t="shared" si="6"/>
        <v>0</v>
      </c>
      <c r="X34" s="33">
        <f t="shared" si="6"/>
        <v>47600</v>
      </c>
      <c r="Y34" s="33">
        <f t="shared" si="6"/>
        <v>17200</v>
      </c>
      <c r="Z34" s="33">
        <f t="shared" si="6"/>
        <v>118143</v>
      </c>
      <c r="AA34" s="33">
        <f t="shared" si="6"/>
        <v>70490</v>
      </c>
      <c r="AB34" s="33">
        <f t="shared" si="6"/>
        <v>0</v>
      </c>
      <c r="AC34" s="33">
        <f t="shared" si="6"/>
        <v>102864</v>
      </c>
      <c r="AD34" s="33">
        <f t="shared" si="6"/>
        <v>0</v>
      </c>
      <c r="AE34" s="33">
        <f t="shared" si="6"/>
        <v>111680</v>
      </c>
      <c r="AF34" s="33">
        <f t="shared" si="6"/>
        <v>77314</v>
      </c>
      <c r="AG34" s="33">
        <f t="shared" si="6"/>
        <v>0</v>
      </c>
      <c r="AH34" s="34">
        <f t="shared" si="6"/>
        <v>3826102</v>
      </c>
    </row>
    <row r="35">
      <c r="A35" s="35" t="s">
        <v>33</v>
      </c>
      <c r="B35" s="36">
        <f t="shared" si="7"/>
        <v>0.08129132577</v>
      </c>
      <c r="C35" s="37">
        <f t="shared" ref="C35:AH35" si="8">sum(C36:C54)</f>
        <v>0</v>
      </c>
      <c r="D35" s="37">
        <f t="shared" si="8"/>
        <v>100000</v>
      </c>
      <c r="E35" s="37">
        <f t="shared" si="8"/>
        <v>0</v>
      </c>
      <c r="F35" s="37">
        <f t="shared" si="8"/>
        <v>0</v>
      </c>
      <c r="G35" s="37">
        <f t="shared" si="8"/>
        <v>575903</v>
      </c>
      <c r="H35" s="37">
        <f t="shared" si="8"/>
        <v>0</v>
      </c>
      <c r="I35" s="37">
        <f t="shared" si="8"/>
        <v>0</v>
      </c>
      <c r="J35" s="37">
        <f t="shared" si="8"/>
        <v>0</v>
      </c>
      <c r="K35" s="37">
        <f t="shared" si="8"/>
        <v>1868871</v>
      </c>
      <c r="L35" s="37">
        <f t="shared" si="8"/>
        <v>0</v>
      </c>
      <c r="M35" s="37">
        <f t="shared" si="8"/>
        <v>0</v>
      </c>
      <c r="N35" s="37">
        <f t="shared" si="8"/>
        <v>11811</v>
      </c>
      <c r="O35" s="37">
        <f t="shared" si="8"/>
        <v>0</v>
      </c>
      <c r="P35" s="37">
        <f t="shared" si="8"/>
        <v>0</v>
      </c>
      <c r="Q35" s="37">
        <f t="shared" si="8"/>
        <v>0</v>
      </c>
      <c r="R35" s="37">
        <f t="shared" si="8"/>
        <v>11980</v>
      </c>
      <c r="S35" s="37">
        <f t="shared" si="8"/>
        <v>0</v>
      </c>
      <c r="T35" s="37">
        <f t="shared" si="8"/>
        <v>0</v>
      </c>
      <c r="U35" s="37">
        <f t="shared" si="8"/>
        <v>422824</v>
      </c>
      <c r="V35" s="37">
        <f t="shared" si="8"/>
        <v>0</v>
      </c>
      <c r="W35" s="37">
        <f t="shared" si="8"/>
        <v>0</v>
      </c>
      <c r="X35" s="37">
        <f t="shared" si="8"/>
        <v>0</v>
      </c>
      <c r="Y35" s="37">
        <f t="shared" si="8"/>
        <v>0</v>
      </c>
      <c r="Z35" s="37">
        <f t="shared" si="8"/>
        <v>0</v>
      </c>
      <c r="AA35" s="37">
        <f t="shared" si="8"/>
        <v>0</v>
      </c>
      <c r="AB35" s="37">
        <f t="shared" si="8"/>
        <v>0</v>
      </c>
      <c r="AC35" s="37">
        <f t="shared" si="8"/>
        <v>0</v>
      </c>
      <c r="AD35" s="37">
        <f t="shared" si="8"/>
        <v>0</v>
      </c>
      <c r="AE35" s="37">
        <f t="shared" si="8"/>
        <v>0</v>
      </c>
      <c r="AF35" s="37">
        <f t="shared" si="8"/>
        <v>77314</v>
      </c>
      <c r="AG35" s="37">
        <f t="shared" si="8"/>
        <v>0</v>
      </c>
      <c r="AH35" s="38">
        <f t="shared" si="8"/>
        <v>3068703</v>
      </c>
    </row>
    <row r="36">
      <c r="A36" s="16" t="s">
        <v>34</v>
      </c>
      <c r="B36" s="27">
        <f t="shared" si="7"/>
        <v>0.006186420931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20">
        <v>0.0</v>
      </c>
      <c r="R36" s="20">
        <v>0.0</v>
      </c>
      <c r="S36" s="20">
        <v>0.0</v>
      </c>
      <c r="T36" s="20">
        <v>0.0</v>
      </c>
      <c r="U36" s="20">
        <f>100687+132847</f>
        <v>233534</v>
      </c>
      <c r="V36" s="20">
        <v>0.0</v>
      </c>
      <c r="W36" s="20">
        <v>0.0</v>
      </c>
      <c r="X36" s="20">
        <v>0.0</v>
      </c>
      <c r="Y36" s="20">
        <v>0.0</v>
      </c>
      <c r="Z36" s="20">
        <v>0.0</v>
      </c>
      <c r="AA36" s="20">
        <v>0.0</v>
      </c>
      <c r="AB36" s="20">
        <v>0.0</v>
      </c>
      <c r="AC36" s="20">
        <v>0.0</v>
      </c>
      <c r="AD36" s="20">
        <v>0.0</v>
      </c>
      <c r="AE36" s="20">
        <v>0.0</v>
      </c>
      <c r="AF36" s="20">
        <v>0.0</v>
      </c>
      <c r="AG36" s="20">
        <v>0.0</v>
      </c>
      <c r="AH36" s="19">
        <f t="shared" ref="AH36:AH54" si="9">SUM(C36:AG36)</f>
        <v>233534</v>
      </c>
    </row>
    <row r="37">
      <c r="A37" s="16" t="s">
        <v>35</v>
      </c>
      <c r="B37" s="27">
        <f t="shared" si="7"/>
        <v>0.002005062219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20">
        <v>0.0</v>
      </c>
      <c r="T37" s="20">
        <v>0.0</v>
      </c>
      <c r="U37" s="17">
        <v>75690.0</v>
      </c>
      <c r="V37" s="20">
        <v>0.0</v>
      </c>
      <c r="W37" s="20">
        <v>0.0</v>
      </c>
      <c r="X37" s="20">
        <v>0.0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20">
        <v>0.0</v>
      </c>
      <c r="AF37" s="20">
        <v>0.0</v>
      </c>
      <c r="AG37" s="20">
        <v>0.0</v>
      </c>
      <c r="AH37" s="19">
        <f t="shared" si="9"/>
        <v>75690</v>
      </c>
    </row>
    <row r="38">
      <c r="A38" s="16" t="s">
        <v>36</v>
      </c>
      <c r="B38" s="27">
        <f t="shared" si="7"/>
        <v>0.003009315208</v>
      </c>
      <c r="C38" s="20">
        <v>0.0</v>
      </c>
      <c r="D38" s="20">
        <v>0.0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20">
        <v>0.0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0.0</v>
      </c>
      <c r="R38" s="20">
        <v>0.0</v>
      </c>
      <c r="S38" s="20">
        <v>0.0</v>
      </c>
      <c r="T38" s="20">
        <v>0.0</v>
      </c>
      <c r="U38" s="17">
        <v>113600.0</v>
      </c>
      <c r="V38" s="20">
        <v>0.0</v>
      </c>
      <c r="W38" s="20">
        <v>0.0</v>
      </c>
      <c r="X38" s="20">
        <v>0.0</v>
      </c>
      <c r="Y38" s="20">
        <v>0.0</v>
      </c>
      <c r="Z38" s="20">
        <v>0.0</v>
      </c>
      <c r="AA38" s="20">
        <v>0.0</v>
      </c>
      <c r="AB38" s="20">
        <v>0.0</v>
      </c>
      <c r="AC38" s="20">
        <v>0.0</v>
      </c>
      <c r="AD38" s="20">
        <v>0.0</v>
      </c>
      <c r="AE38" s="20">
        <v>0.0</v>
      </c>
      <c r="AF38" s="20">
        <v>0.0</v>
      </c>
      <c r="AG38" s="20">
        <v>0.0</v>
      </c>
      <c r="AH38" s="19">
        <f t="shared" si="9"/>
        <v>113600</v>
      </c>
    </row>
    <row r="39">
      <c r="A39" s="16" t="s">
        <v>37</v>
      </c>
      <c r="B39" s="27">
        <f t="shared" si="7"/>
        <v>0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v>0.0</v>
      </c>
      <c r="I39" s="20">
        <v>0.0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  <c r="V39" s="20">
        <v>0.0</v>
      </c>
      <c r="W39" s="20">
        <v>0.0</v>
      </c>
      <c r="X39" s="20">
        <v>0.0</v>
      </c>
      <c r="Y39" s="20">
        <v>0.0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>
        <v>0.0</v>
      </c>
      <c r="AH39" s="19">
        <f t="shared" si="9"/>
        <v>0</v>
      </c>
    </row>
    <row r="40">
      <c r="A40" s="16" t="s">
        <v>38</v>
      </c>
      <c r="B40" s="27">
        <f t="shared" si="7"/>
        <v>0.005984272301</v>
      </c>
      <c r="C40" s="20">
        <v>0.0</v>
      </c>
      <c r="D40" s="20">
        <v>0.0</v>
      </c>
      <c r="E40" s="20">
        <v>0.0</v>
      </c>
      <c r="F40" s="20">
        <v>0.0</v>
      </c>
      <c r="G40" s="20">
        <f>125603+100300</f>
        <v>225903</v>
      </c>
      <c r="H40" s="20">
        <v>0.0</v>
      </c>
      <c r="I40" s="20">
        <v>0.0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20">
        <v>0.0</v>
      </c>
      <c r="P40" s="20">
        <v>0.0</v>
      </c>
      <c r="Q40" s="20">
        <v>0.0</v>
      </c>
      <c r="R40" s="20">
        <v>0.0</v>
      </c>
      <c r="S40" s="20">
        <v>0.0</v>
      </c>
      <c r="T40" s="20">
        <v>0.0</v>
      </c>
      <c r="U40" s="20">
        <v>0.0</v>
      </c>
      <c r="V40" s="20">
        <v>0.0</v>
      </c>
      <c r="W40" s="20">
        <v>0.0</v>
      </c>
      <c r="X40" s="20">
        <v>0.0</v>
      </c>
      <c r="Y40" s="20">
        <v>0.0</v>
      </c>
      <c r="Z40" s="20">
        <v>0.0</v>
      </c>
      <c r="AA40" s="20">
        <v>0.0</v>
      </c>
      <c r="AB40" s="20">
        <v>0.0</v>
      </c>
      <c r="AC40" s="20">
        <v>0.0</v>
      </c>
      <c r="AD40" s="20">
        <v>0.0</v>
      </c>
      <c r="AE40" s="20">
        <v>0.0</v>
      </c>
      <c r="AF40" s="20">
        <v>0.0</v>
      </c>
      <c r="AG40" s="20">
        <v>0.0</v>
      </c>
      <c r="AH40" s="19">
        <f t="shared" si="9"/>
        <v>225903</v>
      </c>
    </row>
    <row r="41">
      <c r="A41" s="16" t="s">
        <v>39</v>
      </c>
      <c r="B41" s="27">
        <f t="shared" si="7"/>
        <v>0</v>
      </c>
      <c r="C41" s="20">
        <v>0.0</v>
      </c>
      <c r="D41" s="20">
        <v>0.0</v>
      </c>
      <c r="E41" s="20">
        <v>0.0</v>
      </c>
      <c r="F41" s="20">
        <v>0.0</v>
      </c>
      <c r="G41" s="20">
        <v>0.0</v>
      </c>
      <c r="H41" s="20">
        <v>0.0</v>
      </c>
      <c r="I41" s="20">
        <v>0.0</v>
      </c>
      <c r="J41" s="20">
        <v>0.0</v>
      </c>
      <c r="K41" s="20">
        <v>0.0</v>
      </c>
      <c r="L41" s="20">
        <v>0.0</v>
      </c>
      <c r="M41" s="20">
        <v>0.0</v>
      </c>
      <c r="N41" s="20">
        <v>0.0</v>
      </c>
      <c r="O41" s="20">
        <v>0.0</v>
      </c>
      <c r="P41" s="20">
        <v>0.0</v>
      </c>
      <c r="Q41" s="20">
        <v>0.0</v>
      </c>
      <c r="R41" s="20">
        <v>0.0</v>
      </c>
      <c r="S41" s="20">
        <v>0.0</v>
      </c>
      <c r="T41" s="20">
        <v>0.0</v>
      </c>
      <c r="U41" s="20">
        <v>0.0</v>
      </c>
      <c r="V41" s="20">
        <v>0.0</v>
      </c>
      <c r="W41" s="20">
        <v>0.0</v>
      </c>
      <c r="X41" s="20">
        <v>0.0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20">
        <v>0.0</v>
      </c>
      <c r="AE41" s="20">
        <v>0.0</v>
      </c>
      <c r="AF41" s="20">
        <v>0.0</v>
      </c>
      <c r="AG41" s="20">
        <v>0.0</v>
      </c>
      <c r="AH41" s="19">
        <f t="shared" si="9"/>
        <v>0</v>
      </c>
    </row>
    <row r="42">
      <c r="A42" s="16" t="s">
        <v>40</v>
      </c>
      <c r="B42" s="27">
        <f t="shared" si="7"/>
        <v>0.0003128787141</v>
      </c>
      <c r="C42" s="20">
        <v>0.0</v>
      </c>
      <c r="D42" s="20">
        <v>0.0</v>
      </c>
      <c r="E42" s="20">
        <v>0.0</v>
      </c>
      <c r="F42" s="20">
        <v>0.0</v>
      </c>
      <c r="G42" s="20">
        <v>0.0</v>
      </c>
      <c r="H42" s="20">
        <v>0.0</v>
      </c>
      <c r="I42" s="20">
        <v>0.0</v>
      </c>
      <c r="J42" s="20">
        <v>0.0</v>
      </c>
      <c r="K42" s="20">
        <v>0.0</v>
      </c>
      <c r="L42" s="20">
        <v>0.0</v>
      </c>
      <c r="M42" s="17">
        <v>0.0</v>
      </c>
      <c r="N42" s="17">
        <v>11811.0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0.0</v>
      </c>
      <c r="AF42" s="20">
        <v>0.0</v>
      </c>
      <c r="AG42" s="20">
        <v>0.0</v>
      </c>
      <c r="AH42" s="19">
        <f t="shared" si="9"/>
        <v>11811</v>
      </c>
    </row>
    <row r="43">
      <c r="A43" s="16" t="s">
        <v>41</v>
      </c>
      <c r="B43" s="27">
        <f t="shared" si="7"/>
        <v>0.009271657771</v>
      </c>
      <c r="C43" s="20">
        <v>0.0</v>
      </c>
      <c r="D43" s="20">
        <v>0.0</v>
      </c>
      <c r="E43" s="20">
        <v>0.0</v>
      </c>
      <c r="F43" s="20">
        <v>0.0</v>
      </c>
      <c r="G43" s="17">
        <v>350000.0</v>
      </c>
      <c r="H43" s="20">
        <v>0.0</v>
      </c>
      <c r="I43" s="20">
        <v>0.0</v>
      </c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20">
        <v>0.0</v>
      </c>
      <c r="AD43" s="20">
        <v>0.0</v>
      </c>
      <c r="AE43" s="20">
        <v>0.0</v>
      </c>
      <c r="AF43" s="20">
        <v>0.0</v>
      </c>
      <c r="AG43" s="20">
        <v>0.0</v>
      </c>
      <c r="AH43" s="19">
        <f t="shared" si="9"/>
        <v>350000</v>
      </c>
    </row>
    <row r="44">
      <c r="A44" s="16" t="s">
        <v>42</v>
      </c>
      <c r="B44" s="27">
        <f t="shared" si="7"/>
        <v>0.04950723523</v>
      </c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20">
        <v>0.0</v>
      </c>
      <c r="J44" s="20">
        <v>0.0</v>
      </c>
      <c r="K44" s="17">
        <v>1868871.0</v>
      </c>
      <c r="L44" s="20">
        <v>0.0</v>
      </c>
      <c r="M44" s="20">
        <v>0.0</v>
      </c>
      <c r="N44" s="20">
        <v>0.0</v>
      </c>
      <c r="O44" s="20">
        <v>0.0</v>
      </c>
      <c r="P44" s="20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20">
        <v>0.0</v>
      </c>
      <c r="W44" s="20">
        <v>0.0</v>
      </c>
      <c r="X44" s="20">
        <v>0.0</v>
      </c>
      <c r="Y44" s="20">
        <v>0.0</v>
      </c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20">
        <v>0.0</v>
      </c>
      <c r="AF44" s="20">
        <v>0.0</v>
      </c>
      <c r="AG44" s="20">
        <v>0.0</v>
      </c>
      <c r="AH44" s="19">
        <f t="shared" si="9"/>
        <v>1868871</v>
      </c>
    </row>
    <row r="45">
      <c r="A45" s="16" t="s">
        <v>43</v>
      </c>
      <c r="B45" s="27">
        <f t="shared" si="7"/>
        <v>0.002649045078</v>
      </c>
      <c r="C45" s="20">
        <v>0.0</v>
      </c>
      <c r="D45" s="17">
        <v>100000.0</v>
      </c>
      <c r="E45" s="20">
        <v>0.0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0">
        <v>0.0</v>
      </c>
      <c r="M45" s="20">
        <v>0.0</v>
      </c>
      <c r="N45" s="20">
        <v>0.0</v>
      </c>
      <c r="O45" s="20">
        <v>0.0</v>
      </c>
      <c r="P45" s="20">
        <v>0.0</v>
      </c>
      <c r="Q45" s="20">
        <v>0.0</v>
      </c>
      <c r="R45" s="20">
        <v>0.0</v>
      </c>
      <c r="S45" s="20">
        <v>0.0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20">
        <v>0.0</v>
      </c>
      <c r="AA45" s="20">
        <v>0.0</v>
      </c>
      <c r="AB45" s="20">
        <v>0.0</v>
      </c>
      <c r="AC45" s="20">
        <v>0.0</v>
      </c>
      <c r="AD45" s="20">
        <v>0.0</v>
      </c>
      <c r="AE45" s="20">
        <v>0.0</v>
      </c>
      <c r="AF45" s="20">
        <v>0.0</v>
      </c>
      <c r="AG45" s="20">
        <v>0.0</v>
      </c>
      <c r="AH45" s="19">
        <f t="shared" si="9"/>
        <v>100000</v>
      </c>
    </row>
    <row r="46">
      <c r="A46" s="28" t="s">
        <v>44</v>
      </c>
      <c r="B46" s="27">
        <f t="shared" si="7"/>
        <v>0.002048082711</v>
      </c>
      <c r="C46" s="20">
        <v>0.0</v>
      </c>
      <c r="D46" s="20">
        <v>0.0</v>
      </c>
      <c r="E46" s="20">
        <v>0.0</v>
      </c>
      <c r="F46" s="20">
        <v>0.0</v>
      </c>
      <c r="G46" s="20">
        <v>0.0</v>
      </c>
      <c r="H46" s="20">
        <v>0.0</v>
      </c>
      <c r="I46" s="20">
        <v>0.0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  <c r="V46" s="20">
        <v>0.0</v>
      </c>
      <c r="W46" s="20">
        <v>0.0</v>
      </c>
      <c r="X46" s="20">
        <v>0.0</v>
      </c>
      <c r="Y46" s="20">
        <v>0.0</v>
      </c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20">
        <v>0.0</v>
      </c>
      <c r="AF46" s="17">
        <v>77314.0</v>
      </c>
      <c r="AG46" s="20">
        <v>0.0</v>
      </c>
      <c r="AH46" s="19">
        <f t="shared" si="9"/>
        <v>77314</v>
      </c>
    </row>
    <row r="47">
      <c r="A47" s="16" t="s">
        <v>45</v>
      </c>
      <c r="B47" s="27">
        <f t="shared" si="7"/>
        <v>0</v>
      </c>
      <c r="C47" s="20">
        <v>0.0</v>
      </c>
      <c r="D47" s="20">
        <v>0.0</v>
      </c>
      <c r="E47" s="20">
        <v>0.0</v>
      </c>
      <c r="F47" s="20">
        <v>0.0</v>
      </c>
      <c r="G47" s="20">
        <v>0.0</v>
      </c>
      <c r="H47" s="20">
        <v>0.0</v>
      </c>
      <c r="I47" s="20">
        <v>0.0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0">
        <v>0.0</v>
      </c>
      <c r="Q47" s="20">
        <v>0.0</v>
      </c>
      <c r="R47" s="20">
        <v>0.0</v>
      </c>
      <c r="S47" s="20">
        <v>0.0</v>
      </c>
      <c r="T47" s="20">
        <v>0.0</v>
      </c>
      <c r="U47" s="20">
        <v>0.0</v>
      </c>
      <c r="V47" s="20">
        <v>0.0</v>
      </c>
      <c r="W47" s="20">
        <v>0.0</v>
      </c>
      <c r="X47" s="20">
        <v>0.0</v>
      </c>
      <c r="Y47" s="20">
        <v>0.0</v>
      </c>
      <c r="Z47" s="20">
        <v>0.0</v>
      </c>
      <c r="AA47" s="20">
        <v>0.0</v>
      </c>
      <c r="AB47" s="20">
        <v>0.0</v>
      </c>
      <c r="AC47" s="20">
        <v>0.0</v>
      </c>
      <c r="AD47" s="20">
        <v>0.0</v>
      </c>
      <c r="AE47" s="20">
        <v>0.0</v>
      </c>
      <c r="AF47" s="20">
        <v>0.0</v>
      </c>
      <c r="AG47" s="20">
        <v>0.0</v>
      </c>
      <c r="AH47" s="19">
        <f t="shared" si="9"/>
        <v>0</v>
      </c>
    </row>
    <row r="48">
      <c r="A48" s="16" t="s">
        <v>46</v>
      </c>
      <c r="B48" s="27">
        <f t="shared" si="7"/>
        <v>0</v>
      </c>
      <c r="C48" s="20">
        <v>0.0</v>
      </c>
      <c r="D48" s="20">
        <v>0.0</v>
      </c>
      <c r="E48" s="20">
        <v>0.0</v>
      </c>
      <c r="F48" s="20">
        <v>0.0</v>
      </c>
      <c r="G48" s="20">
        <v>0.0</v>
      </c>
      <c r="H48" s="20">
        <v>0.0</v>
      </c>
      <c r="I48" s="20">
        <v>0.0</v>
      </c>
      <c r="J48" s="20">
        <v>0.0</v>
      </c>
      <c r="K48" s="20">
        <v>0.0</v>
      </c>
      <c r="L48" s="20">
        <v>0.0</v>
      </c>
      <c r="M48" s="20">
        <v>0.0</v>
      </c>
      <c r="N48" s="20">
        <v>0.0</v>
      </c>
      <c r="O48" s="20">
        <v>0.0</v>
      </c>
      <c r="P48" s="20">
        <v>0.0</v>
      </c>
      <c r="Q48" s="20">
        <v>0.0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20">
        <v>0.0</v>
      </c>
      <c r="Z48" s="20">
        <v>0.0</v>
      </c>
      <c r="AA48" s="20">
        <v>0.0</v>
      </c>
      <c r="AB48" s="20">
        <v>0.0</v>
      </c>
      <c r="AC48" s="20">
        <v>0.0</v>
      </c>
      <c r="AD48" s="20">
        <v>0.0</v>
      </c>
      <c r="AE48" s="20">
        <v>0.0</v>
      </c>
      <c r="AF48" s="20">
        <v>0.0</v>
      </c>
      <c r="AG48" s="20">
        <v>0.0</v>
      </c>
      <c r="AH48" s="19">
        <f t="shared" si="9"/>
        <v>0</v>
      </c>
    </row>
    <row r="49">
      <c r="A49" s="16" t="s">
        <v>47</v>
      </c>
      <c r="B49" s="27">
        <f t="shared" si="7"/>
        <v>0</v>
      </c>
      <c r="C49" s="20">
        <v>0.0</v>
      </c>
      <c r="D49" s="20">
        <v>0.0</v>
      </c>
      <c r="E49" s="20">
        <v>0.0</v>
      </c>
      <c r="F49" s="20">
        <v>0.0</v>
      </c>
      <c r="G49" s="20">
        <v>0.0</v>
      </c>
      <c r="H49" s="20">
        <v>0.0</v>
      </c>
      <c r="I49" s="20">
        <v>0.0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0">
        <v>0.0</v>
      </c>
      <c r="P49" s="20">
        <v>0.0</v>
      </c>
      <c r="Q49" s="20">
        <v>0.0</v>
      </c>
      <c r="R49" s="20">
        <v>0.0</v>
      </c>
      <c r="S49" s="20">
        <v>0.0</v>
      </c>
      <c r="T49" s="20">
        <v>0.0</v>
      </c>
      <c r="U49" s="20">
        <v>0.0</v>
      </c>
      <c r="V49" s="20">
        <v>0.0</v>
      </c>
      <c r="W49" s="20">
        <v>0.0</v>
      </c>
      <c r="X49" s="20">
        <v>0.0</v>
      </c>
      <c r="Y49" s="20">
        <v>0.0</v>
      </c>
      <c r="Z49" s="20">
        <v>0.0</v>
      </c>
      <c r="AA49" s="20">
        <v>0.0</v>
      </c>
      <c r="AB49" s="20">
        <v>0.0</v>
      </c>
      <c r="AC49" s="20">
        <v>0.0</v>
      </c>
      <c r="AD49" s="20">
        <v>0.0</v>
      </c>
      <c r="AE49" s="20">
        <v>0.0</v>
      </c>
      <c r="AF49" s="20">
        <v>0.0</v>
      </c>
      <c r="AG49" s="20">
        <v>0.0</v>
      </c>
      <c r="AH49" s="19">
        <f t="shared" si="9"/>
        <v>0</v>
      </c>
    </row>
    <row r="50">
      <c r="A50" s="16" t="s">
        <v>48</v>
      </c>
      <c r="B50" s="27">
        <f t="shared" si="7"/>
        <v>0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20">
        <v>0.0</v>
      </c>
      <c r="N50" s="20">
        <v>0.0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20">
        <v>0.0</v>
      </c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20">
        <v>0.0</v>
      </c>
      <c r="AF50" s="20">
        <v>0.0</v>
      </c>
      <c r="AG50" s="20">
        <v>0.0</v>
      </c>
      <c r="AH50" s="19">
        <f t="shared" si="9"/>
        <v>0</v>
      </c>
    </row>
    <row r="51">
      <c r="A51" s="16" t="s">
        <v>49</v>
      </c>
      <c r="B51" s="27">
        <f t="shared" si="7"/>
        <v>0.0003173556003</v>
      </c>
      <c r="C51" s="20">
        <v>0.0</v>
      </c>
      <c r="D51" s="20">
        <v>0.0</v>
      </c>
      <c r="E51" s="20">
        <v>0.0</v>
      </c>
      <c r="F51" s="20">
        <v>0.0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17">
        <v>11980.0</v>
      </c>
      <c r="S51" s="20">
        <v>0.0</v>
      </c>
      <c r="T51" s="20">
        <v>0.0</v>
      </c>
      <c r="U51" s="20">
        <v>0.0</v>
      </c>
      <c r="V51" s="20">
        <v>0.0</v>
      </c>
      <c r="W51" s="20">
        <v>0.0</v>
      </c>
      <c r="X51" s="20">
        <v>0.0</v>
      </c>
      <c r="Y51" s="20">
        <v>0.0</v>
      </c>
      <c r="Z51" s="20">
        <v>0.0</v>
      </c>
      <c r="AA51" s="20">
        <v>0.0</v>
      </c>
      <c r="AB51" s="20">
        <v>0.0</v>
      </c>
      <c r="AC51" s="20">
        <v>0.0</v>
      </c>
      <c r="AD51" s="20">
        <v>0.0</v>
      </c>
      <c r="AE51" s="20">
        <v>0.0</v>
      </c>
      <c r="AF51" s="20">
        <v>0.0</v>
      </c>
      <c r="AG51" s="20">
        <v>0.0</v>
      </c>
      <c r="AH51" s="19">
        <f t="shared" si="9"/>
        <v>11980</v>
      </c>
    </row>
    <row r="52">
      <c r="A52" s="16" t="s">
        <v>50</v>
      </c>
      <c r="B52" s="27">
        <f t="shared" si="7"/>
        <v>0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0">
        <v>0.0</v>
      </c>
      <c r="M52" s="20">
        <v>0.0</v>
      </c>
      <c r="N52" s="20">
        <v>0.0</v>
      </c>
      <c r="O52" s="20">
        <v>0.0</v>
      </c>
      <c r="P52" s="20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20">
        <v>0.0</v>
      </c>
      <c r="X52" s="20">
        <v>0.0</v>
      </c>
      <c r="Y52" s="20">
        <v>0.0</v>
      </c>
      <c r="Z52" s="20">
        <v>0.0</v>
      </c>
      <c r="AA52" s="20">
        <v>0.0</v>
      </c>
      <c r="AB52" s="20">
        <v>0.0</v>
      </c>
      <c r="AC52" s="20">
        <v>0.0</v>
      </c>
      <c r="AD52" s="20">
        <v>0.0</v>
      </c>
      <c r="AE52" s="20">
        <v>0.0</v>
      </c>
      <c r="AF52" s="20">
        <v>0.0</v>
      </c>
      <c r="AG52" s="20">
        <v>0.0</v>
      </c>
      <c r="AH52" s="19">
        <f t="shared" si="9"/>
        <v>0</v>
      </c>
    </row>
    <row r="53">
      <c r="A53" s="16" t="s">
        <v>51</v>
      </c>
      <c r="B53" s="27">
        <f t="shared" si="7"/>
        <v>0</v>
      </c>
      <c r="C53" s="20">
        <v>0.0</v>
      </c>
      <c r="D53" s="20">
        <v>0.0</v>
      </c>
      <c r="E53" s="20">
        <v>0.0</v>
      </c>
      <c r="F53" s="20">
        <v>0.0</v>
      </c>
      <c r="G53" s="20">
        <v>0.0</v>
      </c>
      <c r="H53" s="20">
        <v>0.0</v>
      </c>
      <c r="I53" s="20">
        <v>0.0</v>
      </c>
      <c r="J53" s="20">
        <v>0.0</v>
      </c>
      <c r="K53" s="20">
        <v>0.0</v>
      </c>
      <c r="L53" s="20">
        <v>0.0</v>
      </c>
      <c r="M53" s="20">
        <v>0.0</v>
      </c>
      <c r="N53" s="20">
        <v>0.0</v>
      </c>
      <c r="O53" s="20">
        <v>0.0</v>
      </c>
      <c r="P53" s="20">
        <v>0.0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  <c r="V53" s="20">
        <v>0.0</v>
      </c>
      <c r="W53" s="20">
        <v>0.0</v>
      </c>
      <c r="X53" s="20">
        <v>0.0</v>
      </c>
      <c r="Y53" s="20">
        <v>0.0</v>
      </c>
      <c r="Z53" s="20">
        <v>0.0</v>
      </c>
      <c r="AA53" s="20">
        <v>0.0</v>
      </c>
      <c r="AB53" s="20">
        <v>0.0</v>
      </c>
      <c r="AC53" s="20">
        <v>0.0</v>
      </c>
      <c r="AD53" s="20">
        <v>0.0</v>
      </c>
      <c r="AE53" s="20">
        <v>0.0</v>
      </c>
      <c r="AF53" s="20">
        <v>0.0</v>
      </c>
      <c r="AG53" s="20">
        <v>0.0</v>
      </c>
      <c r="AH53" s="19">
        <f t="shared" si="9"/>
        <v>0</v>
      </c>
    </row>
    <row r="54">
      <c r="A54" s="16" t="s">
        <v>52</v>
      </c>
      <c r="B54" s="27">
        <f t="shared" si="7"/>
        <v>0</v>
      </c>
      <c r="C54" s="20">
        <v>0.0</v>
      </c>
      <c r="D54" s="20">
        <v>0.0</v>
      </c>
      <c r="E54" s="20">
        <v>0.0</v>
      </c>
      <c r="F54" s="20">
        <v>0.0</v>
      </c>
      <c r="G54" s="20">
        <v>0.0</v>
      </c>
      <c r="H54" s="20">
        <v>0.0</v>
      </c>
      <c r="I54" s="20">
        <v>0.0</v>
      </c>
      <c r="J54" s="20">
        <v>0.0</v>
      </c>
      <c r="K54" s="20">
        <v>0.0</v>
      </c>
      <c r="L54" s="20">
        <v>0.0</v>
      </c>
      <c r="M54" s="20">
        <v>0.0</v>
      </c>
      <c r="N54" s="20">
        <v>0.0</v>
      </c>
      <c r="O54" s="20">
        <v>0.0</v>
      </c>
      <c r="P54" s="20">
        <v>0.0</v>
      </c>
      <c r="Q54" s="20">
        <v>0.0</v>
      </c>
      <c r="R54" s="20">
        <v>0.0</v>
      </c>
      <c r="S54" s="20">
        <v>0.0</v>
      </c>
      <c r="T54" s="20">
        <v>0.0</v>
      </c>
      <c r="U54" s="20">
        <v>0.0</v>
      </c>
      <c r="V54" s="20">
        <v>0.0</v>
      </c>
      <c r="W54" s="20">
        <v>0.0</v>
      </c>
      <c r="X54" s="20">
        <v>0.0</v>
      </c>
      <c r="Y54" s="20">
        <v>0.0</v>
      </c>
      <c r="Z54" s="20">
        <v>0.0</v>
      </c>
      <c r="AA54" s="20">
        <v>0.0</v>
      </c>
      <c r="AB54" s="20">
        <v>0.0</v>
      </c>
      <c r="AC54" s="20">
        <v>0.0</v>
      </c>
      <c r="AD54" s="20">
        <v>0.0</v>
      </c>
      <c r="AE54" s="20">
        <v>0.0</v>
      </c>
      <c r="AF54" s="20">
        <v>0.0</v>
      </c>
      <c r="AG54" s="20">
        <v>0.0</v>
      </c>
      <c r="AH54" s="19">
        <f t="shared" si="9"/>
        <v>0</v>
      </c>
    </row>
    <row r="55">
      <c r="A55" s="35" t="s">
        <v>53</v>
      </c>
      <c r="B55" s="36">
        <f t="shared" si="7"/>
        <v>0.005391892841</v>
      </c>
      <c r="C55" s="37">
        <f t="shared" ref="C55:AE55" si="10">sum(C56:C63)</f>
        <v>0</v>
      </c>
      <c r="D55" s="37">
        <f t="shared" si="10"/>
        <v>0</v>
      </c>
      <c r="E55" s="37">
        <f t="shared" si="10"/>
        <v>0</v>
      </c>
      <c r="F55" s="37">
        <f t="shared" si="10"/>
        <v>0</v>
      </c>
      <c r="G55" s="37">
        <f t="shared" si="10"/>
        <v>60000</v>
      </c>
      <c r="H55" s="37">
        <f t="shared" si="10"/>
        <v>0</v>
      </c>
      <c r="I55" s="37">
        <f t="shared" si="10"/>
        <v>0</v>
      </c>
      <c r="J55" s="37">
        <f t="shared" si="10"/>
        <v>4041</v>
      </c>
      <c r="K55" s="37">
        <f t="shared" si="10"/>
        <v>0</v>
      </c>
      <c r="L55" s="37">
        <f t="shared" si="10"/>
        <v>0</v>
      </c>
      <c r="M55" s="37">
        <f t="shared" si="10"/>
        <v>0</v>
      </c>
      <c r="N55" s="37">
        <f t="shared" si="10"/>
        <v>0</v>
      </c>
      <c r="O55" s="37">
        <f t="shared" si="10"/>
        <v>0</v>
      </c>
      <c r="P55" s="37">
        <f t="shared" si="10"/>
        <v>0</v>
      </c>
      <c r="Q55" s="37">
        <f t="shared" si="10"/>
        <v>0</v>
      </c>
      <c r="R55" s="37">
        <f t="shared" si="10"/>
        <v>0</v>
      </c>
      <c r="S55" s="37">
        <f t="shared" si="10"/>
        <v>0</v>
      </c>
      <c r="T55" s="37">
        <f t="shared" si="10"/>
        <v>41900</v>
      </c>
      <c r="U55" s="37">
        <f t="shared" si="10"/>
        <v>13900</v>
      </c>
      <c r="V55" s="37">
        <f t="shared" si="10"/>
        <v>0</v>
      </c>
      <c r="W55" s="37">
        <f t="shared" si="10"/>
        <v>0</v>
      </c>
      <c r="X55" s="37">
        <f t="shared" si="10"/>
        <v>0</v>
      </c>
      <c r="Y55" s="37">
        <f t="shared" si="10"/>
        <v>17200</v>
      </c>
      <c r="Z55" s="37">
        <f t="shared" si="10"/>
        <v>6500</v>
      </c>
      <c r="AA55" s="37">
        <f t="shared" si="10"/>
        <v>60000</v>
      </c>
      <c r="AB55" s="37">
        <f t="shared" si="10"/>
        <v>0</v>
      </c>
      <c r="AC55" s="37">
        <f t="shared" si="10"/>
        <v>0</v>
      </c>
      <c r="AD55" s="37">
        <f t="shared" si="10"/>
        <v>0</v>
      </c>
      <c r="AE55" s="37">
        <f t="shared" si="10"/>
        <v>0</v>
      </c>
      <c r="AF55" s="37">
        <f>SUM(AF56:AF63)</f>
        <v>0</v>
      </c>
      <c r="AG55" s="37">
        <f>sum(AG56:AG63)</f>
        <v>0</v>
      </c>
      <c r="AH55" s="38">
        <f>SUM(AH56:AH63)</f>
        <v>203541</v>
      </c>
    </row>
    <row r="56">
      <c r="A56" s="16" t="s">
        <v>54</v>
      </c>
      <c r="B56" s="27">
        <f t="shared" si="7"/>
        <v>0.0001070479116</v>
      </c>
      <c r="C56" s="20">
        <v>0.0</v>
      </c>
      <c r="D56" s="20">
        <v>0.0</v>
      </c>
      <c r="E56" s="20">
        <v>0.0</v>
      </c>
      <c r="F56" s="20">
        <v>0.0</v>
      </c>
      <c r="G56" s="20">
        <v>0.0</v>
      </c>
      <c r="H56" s="20">
        <v>0.0</v>
      </c>
      <c r="I56" s="20">
        <v>0.0</v>
      </c>
      <c r="J56" s="17">
        <v>4041.0</v>
      </c>
      <c r="K56" s="20">
        <v>0.0</v>
      </c>
      <c r="L56" s="20">
        <v>0.0</v>
      </c>
      <c r="M56" s="20">
        <v>0.0</v>
      </c>
      <c r="N56" s="20">
        <v>0.0</v>
      </c>
      <c r="O56" s="20">
        <v>0.0</v>
      </c>
      <c r="P56" s="20">
        <v>0.0</v>
      </c>
      <c r="Q56" s="20">
        <v>0.0</v>
      </c>
      <c r="R56" s="20">
        <v>0.0</v>
      </c>
      <c r="S56" s="20">
        <v>0.0</v>
      </c>
      <c r="T56" s="20">
        <v>0.0</v>
      </c>
      <c r="U56" s="20">
        <v>0.0</v>
      </c>
      <c r="V56" s="20">
        <v>0.0</v>
      </c>
      <c r="W56" s="20">
        <v>0.0</v>
      </c>
      <c r="X56" s="20">
        <v>0.0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20">
        <v>0.0</v>
      </c>
      <c r="AF56" s="20">
        <v>0.0</v>
      </c>
      <c r="AG56" s="20">
        <v>0.0</v>
      </c>
      <c r="AH56" s="19">
        <f t="shared" ref="AH56:AH63" si="11">SUM(C56:AG56)</f>
        <v>4041</v>
      </c>
    </row>
    <row r="57">
      <c r="A57" s="16" t="s">
        <v>55</v>
      </c>
      <c r="B57" s="27">
        <f t="shared" si="7"/>
        <v>0.003178854093</v>
      </c>
      <c r="C57" s="20">
        <v>0.0</v>
      </c>
      <c r="D57" s="20">
        <v>0.0</v>
      </c>
      <c r="E57" s="20">
        <v>0.0</v>
      </c>
      <c r="F57" s="20">
        <v>0.0</v>
      </c>
      <c r="G57" s="17">
        <v>60000.0</v>
      </c>
      <c r="H57" s="20">
        <v>0.0</v>
      </c>
      <c r="I57" s="20">
        <v>0.0</v>
      </c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  <c r="V57" s="20">
        <v>0.0</v>
      </c>
      <c r="W57" s="20">
        <v>0.0</v>
      </c>
      <c r="X57" s="20">
        <v>0.0</v>
      </c>
      <c r="Y57" s="20">
        <v>0.0</v>
      </c>
      <c r="Z57" s="20">
        <v>0.0</v>
      </c>
      <c r="AA57" s="17">
        <v>60000.0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19">
        <f t="shared" si="11"/>
        <v>120000</v>
      </c>
    </row>
    <row r="58">
      <c r="A58" s="16" t="s">
        <v>56</v>
      </c>
      <c r="B58" s="27">
        <f t="shared" si="7"/>
        <v>0</v>
      </c>
      <c r="C58" s="20">
        <v>0.0</v>
      </c>
      <c r="D58" s="20">
        <v>0.0</v>
      </c>
      <c r="E58" s="20">
        <v>0.0</v>
      </c>
      <c r="F58" s="20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0">
        <v>0.0</v>
      </c>
      <c r="M58" s="20">
        <v>0.0</v>
      </c>
      <c r="N58" s="20">
        <v>0.0</v>
      </c>
      <c r="O58" s="20">
        <v>0.0</v>
      </c>
      <c r="P58" s="20">
        <v>0.0</v>
      </c>
      <c r="Q58" s="20">
        <v>0.0</v>
      </c>
      <c r="R58" s="20">
        <v>0.0</v>
      </c>
      <c r="S58" s="20">
        <v>0.0</v>
      </c>
      <c r="T58" s="20">
        <v>0.0</v>
      </c>
      <c r="U58" s="20">
        <v>0.0</v>
      </c>
      <c r="V58" s="20">
        <v>0.0</v>
      </c>
      <c r="W58" s="20">
        <v>0.0</v>
      </c>
      <c r="X58" s="20">
        <v>0.0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20">
        <v>0.0</v>
      </c>
      <c r="AE58" s="20">
        <v>0.0</v>
      </c>
      <c r="AF58" s="20">
        <v>0.0</v>
      </c>
      <c r="AG58" s="20">
        <v>0.0</v>
      </c>
      <c r="AH58" s="19">
        <f t="shared" si="11"/>
        <v>0</v>
      </c>
    </row>
    <row r="59">
      <c r="A59" s="16" t="s">
        <v>57</v>
      </c>
      <c r="B59" s="27">
        <f t="shared" si="7"/>
        <v>0.00017218793</v>
      </c>
      <c r="C59" s="20">
        <v>0.0</v>
      </c>
      <c r="D59" s="20">
        <v>0.0</v>
      </c>
      <c r="E59" s="20">
        <v>0.0</v>
      </c>
      <c r="F59" s="20">
        <v>0.0</v>
      </c>
      <c r="G59" s="20">
        <v>0.0</v>
      </c>
      <c r="H59" s="20">
        <v>0.0</v>
      </c>
      <c r="I59" s="20">
        <v>0.0</v>
      </c>
      <c r="J59" s="20">
        <v>0.0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0.0</v>
      </c>
      <c r="S59" s="20">
        <v>0.0</v>
      </c>
      <c r="T59" s="20">
        <v>0.0</v>
      </c>
      <c r="U59" s="20">
        <v>0.0</v>
      </c>
      <c r="V59" s="20">
        <v>0.0</v>
      </c>
      <c r="W59" s="20">
        <v>0.0</v>
      </c>
      <c r="X59" s="20">
        <v>0.0</v>
      </c>
      <c r="Y59" s="20">
        <v>0.0</v>
      </c>
      <c r="Z59" s="17">
        <v>6500.0</v>
      </c>
      <c r="AA59" s="20">
        <v>0.0</v>
      </c>
      <c r="AB59" s="20">
        <v>0.0</v>
      </c>
      <c r="AC59" s="20">
        <v>0.0</v>
      </c>
      <c r="AD59" s="20">
        <v>0.0</v>
      </c>
      <c r="AE59" s="20">
        <v>0.0</v>
      </c>
      <c r="AF59" s="20">
        <v>0.0</v>
      </c>
      <c r="AG59" s="20">
        <v>0.0</v>
      </c>
      <c r="AH59" s="19">
        <f t="shared" si="11"/>
        <v>6500</v>
      </c>
    </row>
    <row r="60">
      <c r="A60" s="16" t="s">
        <v>58</v>
      </c>
      <c r="B60" s="27">
        <f t="shared" si="7"/>
        <v>0</v>
      </c>
      <c r="C60" s="20">
        <v>0.0</v>
      </c>
      <c r="D60" s="20">
        <v>0.0</v>
      </c>
      <c r="E60" s="20">
        <v>0.0</v>
      </c>
      <c r="F60" s="20">
        <v>0.0</v>
      </c>
      <c r="G60" s="20">
        <v>0.0</v>
      </c>
      <c r="H60" s="20">
        <v>0.0</v>
      </c>
      <c r="I60" s="20">
        <v>0.0</v>
      </c>
      <c r="J60" s="20">
        <v>0.0</v>
      </c>
      <c r="K60" s="20">
        <v>0.0</v>
      </c>
      <c r="L60" s="20">
        <v>0.0</v>
      </c>
      <c r="M60" s="20">
        <v>0.0</v>
      </c>
      <c r="N60" s="20">
        <v>0.0</v>
      </c>
      <c r="O60" s="20">
        <v>0.0</v>
      </c>
      <c r="P60" s="20">
        <v>0.0</v>
      </c>
      <c r="Q60" s="20">
        <v>0.0</v>
      </c>
      <c r="R60" s="20">
        <v>0.0</v>
      </c>
      <c r="S60" s="20">
        <v>0.0</v>
      </c>
      <c r="T60" s="17">
        <v>0.0</v>
      </c>
      <c r="U60" s="20">
        <v>0.0</v>
      </c>
      <c r="V60" s="20">
        <v>0.0</v>
      </c>
      <c r="W60" s="20">
        <v>0.0</v>
      </c>
      <c r="X60" s="20">
        <v>0.0</v>
      </c>
      <c r="Y60" s="20">
        <v>0.0</v>
      </c>
      <c r="Z60" s="20">
        <v>0.0</v>
      </c>
      <c r="AA60" s="20">
        <v>0.0</v>
      </c>
      <c r="AB60" s="20">
        <v>0.0</v>
      </c>
      <c r="AC60" s="20">
        <v>0.0</v>
      </c>
      <c r="AD60" s="20">
        <v>0.0</v>
      </c>
      <c r="AE60" s="20">
        <v>0.0</v>
      </c>
      <c r="AF60" s="20">
        <v>0.0</v>
      </c>
      <c r="AG60" s="20">
        <v>0.0</v>
      </c>
      <c r="AH60" s="19">
        <f t="shared" si="11"/>
        <v>0</v>
      </c>
    </row>
    <row r="61">
      <c r="A61" s="16" t="s">
        <v>59</v>
      </c>
      <c r="B61" s="27">
        <f t="shared" si="7"/>
        <v>0.001933802907</v>
      </c>
      <c r="C61" s="20">
        <v>0.0</v>
      </c>
      <c r="D61" s="20">
        <v>0.0</v>
      </c>
      <c r="E61" s="20">
        <v>0.0</v>
      </c>
      <c r="F61" s="20">
        <v>0.0</v>
      </c>
      <c r="G61" s="20">
        <v>0.0</v>
      </c>
      <c r="H61" s="20">
        <v>0.0</v>
      </c>
      <c r="I61" s="20">
        <v>0.0</v>
      </c>
      <c r="J61" s="20">
        <v>0.0</v>
      </c>
      <c r="K61" s="20">
        <v>0.0</v>
      </c>
      <c r="L61" s="20">
        <v>0.0</v>
      </c>
      <c r="M61" s="20">
        <v>0.0</v>
      </c>
      <c r="N61" s="20">
        <v>0.0</v>
      </c>
      <c r="O61" s="20">
        <v>0.0</v>
      </c>
      <c r="P61" s="20">
        <v>0.0</v>
      </c>
      <c r="Q61" s="20">
        <v>0.0</v>
      </c>
      <c r="R61" s="20">
        <v>0.0</v>
      </c>
      <c r="S61" s="20">
        <v>0.0</v>
      </c>
      <c r="T61" s="17">
        <v>41900.0</v>
      </c>
      <c r="U61" s="17">
        <v>13900.0</v>
      </c>
      <c r="V61" s="20">
        <v>0.0</v>
      </c>
      <c r="W61" s="20">
        <v>0.0</v>
      </c>
      <c r="X61" s="20">
        <v>0.0</v>
      </c>
      <c r="Y61" s="17">
        <v>17200.0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19">
        <f t="shared" si="11"/>
        <v>73000</v>
      </c>
    </row>
    <row r="62">
      <c r="A62" s="16" t="s">
        <v>60</v>
      </c>
      <c r="B62" s="27">
        <f t="shared" si="7"/>
        <v>0</v>
      </c>
      <c r="C62" s="20">
        <v>0.0</v>
      </c>
      <c r="D62" s="20">
        <v>0.0</v>
      </c>
      <c r="E62" s="20">
        <v>0.0</v>
      </c>
      <c r="F62" s="20">
        <v>0.0</v>
      </c>
      <c r="G62" s="20">
        <v>0.0</v>
      </c>
      <c r="H62" s="20">
        <v>0.0</v>
      </c>
      <c r="I62" s="20">
        <v>0.0</v>
      </c>
      <c r="J62" s="20">
        <v>0.0</v>
      </c>
      <c r="K62" s="20">
        <v>0.0</v>
      </c>
      <c r="L62" s="20">
        <v>0.0</v>
      </c>
      <c r="M62" s="20">
        <v>0.0</v>
      </c>
      <c r="N62" s="20">
        <v>0.0</v>
      </c>
      <c r="O62" s="20">
        <v>0.0</v>
      </c>
      <c r="P62" s="20">
        <v>0.0</v>
      </c>
      <c r="Q62" s="20">
        <v>0.0</v>
      </c>
      <c r="R62" s="20">
        <v>0.0</v>
      </c>
      <c r="S62" s="20">
        <v>0.0</v>
      </c>
      <c r="T62" s="20">
        <v>0.0</v>
      </c>
      <c r="U62" s="20">
        <v>0.0</v>
      </c>
      <c r="V62" s="20">
        <v>0.0</v>
      </c>
      <c r="W62" s="20">
        <v>0.0</v>
      </c>
      <c r="X62" s="20">
        <v>0.0</v>
      </c>
      <c r="Y62" s="20">
        <v>0.0</v>
      </c>
      <c r="Z62" s="20">
        <v>0.0</v>
      </c>
      <c r="AA62" s="20">
        <v>0.0</v>
      </c>
      <c r="AB62" s="20">
        <v>0.0</v>
      </c>
      <c r="AC62" s="20">
        <v>0.0</v>
      </c>
      <c r="AD62" s="20">
        <v>0.0</v>
      </c>
      <c r="AE62" s="20">
        <v>0.0</v>
      </c>
      <c r="AF62" s="20">
        <v>0.0</v>
      </c>
      <c r="AG62" s="20">
        <v>0.0</v>
      </c>
      <c r="AH62" s="19">
        <f t="shared" si="11"/>
        <v>0</v>
      </c>
    </row>
    <row r="63">
      <c r="A63" s="16" t="s">
        <v>61</v>
      </c>
      <c r="B63" s="27">
        <f t="shared" si="7"/>
        <v>0</v>
      </c>
      <c r="C63" s="20">
        <v>0.0</v>
      </c>
      <c r="D63" s="20">
        <v>0.0</v>
      </c>
      <c r="E63" s="20">
        <v>0.0</v>
      </c>
      <c r="F63" s="20">
        <v>0.0</v>
      </c>
      <c r="G63" s="20">
        <v>0.0</v>
      </c>
      <c r="H63" s="20">
        <v>0.0</v>
      </c>
      <c r="I63" s="20">
        <v>0.0</v>
      </c>
      <c r="J63" s="20">
        <v>0.0</v>
      </c>
      <c r="K63" s="20">
        <v>0.0</v>
      </c>
      <c r="L63" s="20">
        <v>0.0</v>
      </c>
      <c r="M63" s="20">
        <v>0.0</v>
      </c>
      <c r="N63" s="20">
        <v>0.0</v>
      </c>
      <c r="O63" s="20">
        <v>0.0</v>
      </c>
      <c r="P63" s="20">
        <v>0.0</v>
      </c>
      <c r="Q63" s="20">
        <v>0.0</v>
      </c>
      <c r="R63" s="20">
        <v>0.0</v>
      </c>
      <c r="S63" s="20">
        <v>0.0</v>
      </c>
      <c r="T63" s="20">
        <v>0.0</v>
      </c>
      <c r="U63" s="20">
        <v>0.0</v>
      </c>
      <c r="V63" s="20">
        <v>0.0</v>
      </c>
      <c r="W63" s="20">
        <v>0.0</v>
      </c>
      <c r="X63" s="20">
        <v>0.0</v>
      </c>
      <c r="Y63" s="20">
        <v>0.0</v>
      </c>
      <c r="Z63" s="20">
        <v>0.0</v>
      </c>
      <c r="AA63" s="20">
        <v>0.0</v>
      </c>
      <c r="AB63" s="20">
        <v>0.0</v>
      </c>
      <c r="AC63" s="20">
        <v>0.0</v>
      </c>
      <c r="AD63" s="20">
        <v>0.0</v>
      </c>
      <c r="AE63" s="20">
        <v>0.0</v>
      </c>
      <c r="AF63" s="20">
        <v>0.0</v>
      </c>
      <c r="AG63" s="20">
        <v>0.0</v>
      </c>
      <c r="AH63" s="19">
        <f t="shared" si="11"/>
        <v>0</v>
      </c>
    </row>
    <row r="64">
      <c r="A64" s="7"/>
      <c r="B64" s="8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 t="str">
        <f>IFERROR(__xludf.DUMMYFUNCTION("AI(""Introduce un valor adecuado para esta celda según el contexto de la tabla"")"),"$0")</f>
        <v>$0</v>
      </c>
      <c r="AD64" s="10"/>
      <c r="AE64" s="10"/>
      <c r="AF64" s="10"/>
      <c r="AG64" s="10"/>
      <c r="AH64" s="10"/>
    </row>
    <row r="65">
      <c r="A65" s="35" t="s">
        <v>62</v>
      </c>
      <c r="B65" s="36">
        <f t="shared" ref="B65:B76" si="14">AH65/$AH$10</f>
        <v>0.01467194809</v>
      </c>
      <c r="C65" s="37">
        <f t="shared" ref="C65:Z65" si="12">sum(C66:C75)</f>
        <v>0</v>
      </c>
      <c r="D65" s="37">
        <f t="shared" si="12"/>
        <v>0</v>
      </c>
      <c r="E65" s="37">
        <f t="shared" si="12"/>
        <v>58245</v>
      </c>
      <c r="F65" s="37">
        <f t="shared" si="12"/>
        <v>0</v>
      </c>
      <c r="G65" s="37">
        <f t="shared" si="12"/>
        <v>111336</v>
      </c>
      <c r="H65" s="37">
        <f t="shared" si="12"/>
        <v>0</v>
      </c>
      <c r="I65" s="37">
        <f t="shared" si="12"/>
        <v>0</v>
      </c>
      <c r="J65" s="37">
        <f t="shared" si="12"/>
        <v>0</v>
      </c>
      <c r="K65" s="37">
        <f t="shared" si="12"/>
        <v>0</v>
      </c>
      <c r="L65" s="37">
        <f t="shared" si="12"/>
        <v>0</v>
      </c>
      <c r="M65" s="37">
        <f t="shared" si="12"/>
        <v>0</v>
      </c>
      <c r="N65" s="37">
        <f t="shared" si="12"/>
        <v>0</v>
      </c>
      <c r="O65" s="37">
        <f t="shared" si="12"/>
        <v>0</v>
      </c>
      <c r="P65" s="37">
        <f t="shared" si="12"/>
        <v>0</v>
      </c>
      <c r="Q65" s="37">
        <f t="shared" si="12"/>
        <v>0</v>
      </c>
      <c r="R65" s="37">
        <f t="shared" si="12"/>
        <v>0</v>
      </c>
      <c r="S65" s="37">
        <f t="shared" si="12"/>
        <v>0</v>
      </c>
      <c r="T65" s="37">
        <f t="shared" si="12"/>
        <v>0</v>
      </c>
      <c r="U65" s="37">
        <f t="shared" si="12"/>
        <v>0</v>
      </c>
      <c r="V65" s="37">
        <f t="shared" si="12"/>
        <v>0</v>
      </c>
      <c r="W65" s="37">
        <f t="shared" si="12"/>
        <v>0</v>
      </c>
      <c r="X65" s="37">
        <f t="shared" si="12"/>
        <v>47600</v>
      </c>
      <c r="Y65" s="37">
        <f t="shared" si="12"/>
        <v>0</v>
      </c>
      <c r="Z65" s="37">
        <f t="shared" si="12"/>
        <v>111643</v>
      </c>
      <c r="AA65" s="37">
        <f>SUM(AA66:AA76)</f>
        <v>10490</v>
      </c>
      <c r="AB65" s="37">
        <f t="shared" ref="AB65:AG65" si="13">sum(AB66:AB75)</f>
        <v>0</v>
      </c>
      <c r="AC65" s="37">
        <f t="shared" si="13"/>
        <v>102864</v>
      </c>
      <c r="AD65" s="37">
        <f t="shared" si="13"/>
        <v>0</v>
      </c>
      <c r="AE65" s="37">
        <f t="shared" si="13"/>
        <v>111680</v>
      </c>
      <c r="AF65" s="37">
        <f t="shared" si="13"/>
        <v>0</v>
      </c>
      <c r="AG65" s="37">
        <f t="shared" si="13"/>
        <v>0</v>
      </c>
      <c r="AH65" s="38">
        <f>SUM(AH66:AH76)</f>
        <v>553858</v>
      </c>
    </row>
    <row r="66">
      <c r="A66" s="16" t="s">
        <v>63</v>
      </c>
      <c r="B66" s="27">
        <f t="shared" si="14"/>
        <v>0.008865267766</v>
      </c>
      <c r="C66" s="20">
        <v>0.0</v>
      </c>
      <c r="D66" s="20">
        <v>0.0</v>
      </c>
      <c r="E66" s="20">
        <v>0.0</v>
      </c>
      <c r="F66" s="20">
        <v>0.0</v>
      </c>
      <c r="G66" s="17">
        <v>111336.0</v>
      </c>
      <c r="H66" s="20">
        <v>0.0</v>
      </c>
      <c r="I66" s="20">
        <v>0.0</v>
      </c>
      <c r="J66" s="20">
        <v>0.0</v>
      </c>
      <c r="K66" s="20">
        <v>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0">
        <v>0.0</v>
      </c>
      <c r="Y66" s="20">
        <v>0.0</v>
      </c>
      <c r="Z66" s="17">
        <v>111643.0</v>
      </c>
      <c r="AA66" s="20">
        <v>0.0</v>
      </c>
      <c r="AB66" s="20">
        <v>0.0</v>
      </c>
      <c r="AC66" s="20">
        <v>0.0</v>
      </c>
      <c r="AD66" s="17">
        <v>0.0</v>
      </c>
      <c r="AE66" s="17">
        <v>111680.0</v>
      </c>
      <c r="AF66" s="20">
        <v>0.0</v>
      </c>
      <c r="AG66" s="20">
        <v>0.0</v>
      </c>
      <c r="AH66" s="19">
        <f t="shared" ref="AH66:AH76" si="15">SUM(C66:AG66)</f>
        <v>334659</v>
      </c>
    </row>
    <row r="67">
      <c r="A67" s="16" t="s">
        <v>64</v>
      </c>
      <c r="B67" s="27">
        <f t="shared" si="14"/>
        <v>0.001542936305</v>
      </c>
      <c r="C67" s="20">
        <v>0.0</v>
      </c>
      <c r="D67" s="20">
        <v>0.0</v>
      </c>
      <c r="E67" s="17">
        <v>58245.0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0.0</v>
      </c>
      <c r="M67" s="20">
        <v>0.0</v>
      </c>
      <c r="N67" s="20">
        <v>0.0</v>
      </c>
      <c r="O67" s="20">
        <v>0.0</v>
      </c>
      <c r="P67" s="20">
        <v>0.0</v>
      </c>
      <c r="Q67" s="20">
        <v>0.0</v>
      </c>
      <c r="R67" s="20">
        <v>0.0</v>
      </c>
      <c r="S67" s="20">
        <v>0.0</v>
      </c>
      <c r="T67" s="20">
        <v>0.0</v>
      </c>
      <c r="U67" s="20">
        <v>0.0</v>
      </c>
      <c r="V67" s="20">
        <v>0.0</v>
      </c>
      <c r="W67" s="20">
        <v>0.0</v>
      </c>
      <c r="X67" s="20">
        <v>0.0</v>
      </c>
      <c r="Y67" s="20">
        <v>0.0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0.0</v>
      </c>
      <c r="AF67" s="20">
        <v>0.0</v>
      </c>
      <c r="AG67" s="20">
        <v>0.0</v>
      </c>
      <c r="AH67" s="19">
        <f t="shared" si="15"/>
        <v>58245</v>
      </c>
    </row>
    <row r="68">
      <c r="A68" s="16" t="s">
        <v>65</v>
      </c>
      <c r="B68" s="27">
        <f t="shared" si="14"/>
        <v>0.001260945457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20">
        <v>0.0</v>
      </c>
      <c r="L68" s="20">
        <v>0.0</v>
      </c>
      <c r="M68" s="20">
        <v>0.0</v>
      </c>
      <c r="N68" s="20">
        <v>0.0</v>
      </c>
      <c r="O68" s="20">
        <v>0.0</v>
      </c>
      <c r="P68" s="20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0.0</v>
      </c>
      <c r="V68" s="20">
        <v>0.0</v>
      </c>
      <c r="W68" s="20">
        <v>0.0</v>
      </c>
      <c r="X68" s="17">
        <v>47600.0</v>
      </c>
      <c r="Y68" s="20">
        <v>0.0</v>
      </c>
      <c r="Z68" s="20">
        <v>0.0</v>
      </c>
      <c r="AA68" s="20">
        <v>0.0</v>
      </c>
      <c r="AB68" s="20">
        <v>0.0</v>
      </c>
      <c r="AC68" s="20">
        <v>0.0</v>
      </c>
      <c r="AD68" s="20">
        <v>0.0</v>
      </c>
      <c r="AE68" s="20">
        <v>0.0</v>
      </c>
      <c r="AF68" s="20">
        <v>0.0</v>
      </c>
      <c r="AG68" s="20">
        <v>0.0</v>
      </c>
      <c r="AH68" s="19">
        <f t="shared" si="15"/>
        <v>47600</v>
      </c>
    </row>
    <row r="69">
      <c r="A69" s="16" t="s">
        <v>66</v>
      </c>
      <c r="B69" s="27">
        <f t="shared" si="14"/>
        <v>0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v>0.0</v>
      </c>
      <c r="L69" s="20">
        <v>0.0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20">
        <v>0.0</v>
      </c>
      <c r="W69" s="20">
        <v>0.0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20">
        <v>0.0</v>
      </c>
      <c r="AF69" s="20">
        <v>0.0</v>
      </c>
      <c r="AG69" s="20">
        <v>0.0</v>
      </c>
      <c r="AH69" s="19">
        <f t="shared" si="15"/>
        <v>0</v>
      </c>
    </row>
    <row r="70">
      <c r="A70" s="16" t="s">
        <v>67</v>
      </c>
      <c r="B70" s="27">
        <f t="shared" si="14"/>
        <v>0.002724913729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20">
        <v>0.0</v>
      </c>
      <c r="AC70" s="17">
        <v>102864.0</v>
      </c>
      <c r="AD70" s="20">
        <v>0.0</v>
      </c>
      <c r="AE70" s="20">
        <v>0.0</v>
      </c>
      <c r="AF70" s="20">
        <v>0.0</v>
      </c>
      <c r="AG70" s="20">
        <v>0.0</v>
      </c>
      <c r="AH70" s="19">
        <f t="shared" si="15"/>
        <v>102864</v>
      </c>
    </row>
    <row r="71">
      <c r="A71" s="16" t="s">
        <v>68</v>
      </c>
      <c r="B71" s="27">
        <f t="shared" si="14"/>
        <v>0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0.0</v>
      </c>
      <c r="K71" s="20">
        <v>0.0</v>
      </c>
      <c r="L71" s="20">
        <v>0.0</v>
      </c>
      <c r="M71" s="20">
        <v>0.0</v>
      </c>
      <c r="N71" s="20">
        <v>0.0</v>
      </c>
      <c r="O71" s="20">
        <v>0.0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20">
        <v>0.0</v>
      </c>
      <c r="AF71" s="20">
        <v>0.0</v>
      </c>
      <c r="AG71" s="20">
        <v>0.0</v>
      </c>
      <c r="AH71" s="19">
        <f t="shared" si="15"/>
        <v>0</v>
      </c>
    </row>
    <row r="72">
      <c r="A72" s="16" t="s">
        <v>69</v>
      </c>
      <c r="B72" s="27">
        <f t="shared" si="14"/>
        <v>0</v>
      </c>
      <c r="C72" s="20">
        <v>0.0</v>
      </c>
      <c r="D72" s="20">
        <v>0.0</v>
      </c>
      <c r="E72" s="20">
        <v>0.0</v>
      </c>
      <c r="F72" s="20">
        <v>0.0</v>
      </c>
      <c r="G72" s="20">
        <v>0.0</v>
      </c>
      <c r="H72" s="20">
        <v>0.0</v>
      </c>
      <c r="I72" s="20">
        <v>0.0</v>
      </c>
      <c r="J72" s="20">
        <v>0.0</v>
      </c>
      <c r="K72" s="20">
        <v>0.0</v>
      </c>
      <c r="L72" s="20">
        <v>0.0</v>
      </c>
      <c r="M72" s="20">
        <v>0.0</v>
      </c>
      <c r="N72" s="20">
        <v>0.0</v>
      </c>
      <c r="O72" s="20">
        <v>0.0</v>
      </c>
      <c r="P72" s="20">
        <v>0.0</v>
      </c>
      <c r="Q72" s="20">
        <v>0.0</v>
      </c>
      <c r="R72" s="20">
        <v>0.0</v>
      </c>
      <c r="S72" s="20">
        <v>0.0</v>
      </c>
      <c r="T72" s="20">
        <v>0.0</v>
      </c>
      <c r="U72" s="20">
        <v>0.0</v>
      </c>
      <c r="V72" s="20">
        <v>0.0</v>
      </c>
      <c r="W72" s="20">
        <v>0.0</v>
      </c>
      <c r="X72" s="20">
        <v>0.0</v>
      </c>
      <c r="Y72" s="20">
        <v>0.0</v>
      </c>
      <c r="Z72" s="20">
        <v>0.0</v>
      </c>
      <c r="AA72" s="20">
        <v>0.0</v>
      </c>
      <c r="AB72" s="20">
        <v>0.0</v>
      </c>
      <c r="AC72" s="20">
        <v>0.0</v>
      </c>
      <c r="AD72" s="20">
        <v>0.0</v>
      </c>
      <c r="AE72" s="20">
        <v>0.0</v>
      </c>
      <c r="AF72" s="20">
        <v>0.0</v>
      </c>
      <c r="AG72" s="20">
        <v>0.0</v>
      </c>
      <c r="AH72" s="19">
        <f t="shared" si="15"/>
        <v>0</v>
      </c>
    </row>
    <row r="73">
      <c r="A73" s="16" t="s">
        <v>70</v>
      </c>
      <c r="B73" s="27">
        <f t="shared" si="14"/>
        <v>0</v>
      </c>
      <c r="C73" s="20">
        <v>0.0</v>
      </c>
      <c r="D73" s="20">
        <v>0.0</v>
      </c>
      <c r="E73" s="20">
        <v>0.0</v>
      </c>
      <c r="F73" s="20">
        <v>0.0</v>
      </c>
      <c r="G73" s="20">
        <v>0.0</v>
      </c>
      <c r="H73" s="20">
        <v>0.0</v>
      </c>
      <c r="I73" s="20">
        <v>0.0</v>
      </c>
      <c r="J73" s="20">
        <v>0.0</v>
      </c>
      <c r="K73" s="20">
        <v>0.0</v>
      </c>
      <c r="L73" s="20">
        <v>0.0</v>
      </c>
      <c r="M73" s="20">
        <v>0.0</v>
      </c>
      <c r="N73" s="20">
        <v>0.0</v>
      </c>
      <c r="O73" s="20">
        <v>0.0</v>
      </c>
      <c r="P73" s="20">
        <v>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  <c r="V73" s="20">
        <v>0.0</v>
      </c>
      <c r="W73" s="20">
        <v>0.0</v>
      </c>
      <c r="X73" s="20">
        <v>0.0</v>
      </c>
      <c r="Y73" s="20">
        <v>0.0</v>
      </c>
      <c r="Z73" s="20">
        <v>0.0</v>
      </c>
      <c r="AA73" s="20">
        <v>0.0</v>
      </c>
      <c r="AB73" s="20">
        <v>0.0</v>
      </c>
      <c r="AC73" s="20">
        <v>0.0</v>
      </c>
      <c r="AD73" s="20">
        <v>0.0</v>
      </c>
      <c r="AE73" s="20">
        <v>0.0</v>
      </c>
      <c r="AF73" s="20">
        <v>0.0</v>
      </c>
      <c r="AG73" s="20">
        <v>0.0</v>
      </c>
      <c r="AH73" s="19">
        <f t="shared" si="15"/>
        <v>0</v>
      </c>
    </row>
    <row r="74">
      <c r="A74" s="16" t="s">
        <v>71</v>
      </c>
      <c r="B74" s="27">
        <f t="shared" si="14"/>
        <v>0</v>
      </c>
      <c r="C74" s="20">
        <v>0.0</v>
      </c>
      <c r="D74" s="20">
        <v>0.0</v>
      </c>
      <c r="E74" s="20">
        <v>0.0</v>
      </c>
      <c r="F74" s="20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0">
        <v>0.0</v>
      </c>
      <c r="M74" s="20">
        <v>0.0</v>
      </c>
      <c r="N74" s="20">
        <v>0.0</v>
      </c>
      <c r="O74" s="20">
        <v>0.0</v>
      </c>
      <c r="P74" s="20">
        <v>0.0</v>
      </c>
      <c r="Q74" s="20">
        <v>0.0</v>
      </c>
      <c r="R74" s="20">
        <v>0.0</v>
      </c>
      <c r="S74" s="20">
        <v>0.0</v>
      </c>
      <c r="T74" s="20">
        <v>0.0</v>
      </c>
      <c r="U74" s="20">
        <v>0.0</v>
      </c>
      <c r="V74" s="20">
        <v>0.0</v>
      </c>
      <c r="W74" s="20">
        <v>0.0</v>
      </c>
      <c r="X74" s="20">
        <v>0.0</v>
      </c>
      <c r="Y74" s="20">
        <v>0.0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20">
        <v>0.0</v>
      </c>
      <c r="AF74" s="20">
        <v>0.0</v>
      </c>
      <c r="AG74" s="20">
        <v>0.0</v>
      </c>
      <c r="AH74" s="19">
        <f t="shared" si="15"/>
        <v>0</v>
      </c>
    </row>
    <row r="75">
      <c r="A75" s="7" t="s">
        <v>72</v>
      </c>
      <c r="B75" s="27">
        <f t="shared" si="14"/>
        <v>0</v>
      </c>
      <c r="C75" s="20">
        <v>0.0</v>
      </c>
      <c r="D75" s="20">
        <v>0.0</v>
      </c>
      <c r="E75" s="20">
        <v>0.0</v>
      </c>
      <c r="F75" s="20">
        <v>0.0</v>
      </c>
      <c r="G75" s="20">
        <v>0.0</v>
      </c>
      <c r="H75" s="20">
        <v>0.0</v>
      </c>
      <c r="I75" s="20">
        <v>0.0</v>
      </c>
      <c r="J75" s="20">
        <v>0.0</v>
      </c>
      <c r="K75" s="20">
        <v>0.0</v>
      </c>
      <c r="L75" s="20">
        <v>0.0</v>
      </c>
      <c r="M75" s="20">
        <v>0.0</v>
      </c>
      <c r="N75" s="20">
        <v>0.0</v>
      </c>
      <c r="O75" s="20">
        <v>0.0</v>
      </c>
      <c r="P75" s="20">
        <v>0.0</v>
      </c>
      <c r="Q75" s="20">
        <v>0.0</v>
      </c>
      <c r="R75" s="20">
        <v>0.0</v>
      </c>
      <c r="S75" s="20">
        <v>0.0</v>
      </c>
      <c r="T75" s="20">
        <v>0.0</v>
      </c>
      <c r="U75" s="20">
        <v>0.0</v>
      </c>
      <c r="V75" s="20">
        <v>0.0</v>
      </c>
      <c r="W75" s="20">
        <v>0.0</v>
      </c>
      <c r="X75" s="20">
        <v>0.0</v>
      </c>
      <c r="Y75" s="20">
        <v>0.0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20">
        <v>0.0</v>
      </c>
      <c r="AF75" s="20">
        <v>0.0</v>
      </c>
      <c r="AG75" s="20">
        <v>0.0</v>
      </c>
      <c r="AH75" s="19">
        <f t="shared" si="15"/>
        <v>0</v>
      </c>
    </row>
    <row r="76">
      <c r="A76" s="39" t="s">
        <v>73</v>
      </c>
      <c r="B76" s="27">
        <f t="shared" si="14"/>
        <v>0.0002778848286</v>
      </c>
      <c r="C76" s="20">
        <v>0.0</v>
      </c>
      <c r="D76" s="20">
        <v>0.0</v>
      </c>
      <c r="E76" s="20">
        <v>0.0</v>
      </c>
      <c r="F76" s="20">
        <v>0.0</v>
      </c>
      <c r="G76" s="20">
        <v>0.0</v>
      </c>
      <c r="H76" s="20">
        <v>0.0</v>
      </c>
      <c r="I76" s="20">
        <v>0.0</v>
      </c>
      <c r="J76" s="20">
        <v>0.0</v>
      </c>
      <c r="K76" s="20">
        <v>0.0</v>
      </c>
      <c r="L76" s="20">
        <v>0.0</v>
      </c>
      <c r="M76" s="20">
        <v>0.0</v>
      </c>
      <c r="N76" s="20">
        <v>0.0</v>
      </c>
      <c r="O76" s="20">
        <v>0.0</v>
      </c>
      <c r="P76" s="20">
        <v>0.0</v>
      </c>
      <c r="Q76" s="20">
        <v>0.0</v>
      </c>
      <c r="R76" s="20">
        <v>0.0</v>
      </c>
      <c r="S76" s="20">
        <v>0.0</v>
      </c>
      <c r="T76" s="20">
        <v>0.0</v>
      </c>
      <c r="U76" s="20">
        <v>0.0</v>
      </c>
      <c r="V76" s="20">
        <v>0.0</v>
      </c>
      <c r="W76" s="20">
        <v>0.0</v>
      </c>
      <c r="X76" s="20">
        <v>0.0</v>
      </c>
      <c r="Y76" s="20">
        <v>0.0</v>
      </c>
      <c r="Z76" s="20">
        <v>0.0</v>
      </c>
      <c r="AA76" s="17">
        <v>10490.0</v>
      </c>
      <c r="AB76" s="20">
        <v>0.0</v>
      </c>
      <c r="AC76" s="20">
        <v>0.0</v>
      </c>
      <c r="AD76" s="20">
        <v>0.0</v>
      </c>
      <c r="AE76" s="20">
        <v>0.0</v>
      </c>
      <c r="AF76" s="20">
        <v>0.0</v>
      </c>
      <c r="AG76" s="20">
        <v>0.0</v>
      </c>
      <c r="AH76" s="19">
        <f t="shared" si="15"/>
        <v>10490</v>
      </c>
    </row>
    <row r="77">
      <c r="A77" s="7"/>
      <c r="B77" s="8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40" t="s">
        <v>74</v>
      </c>
      <c r="B78" s="32">
        <f t="shared" ref="B78:B82" si="17">AH78/$AH$10</f>
        <v>0.1574028147</v>
      </c>
      <c r="C78" s="41">
        <f>sum(C79:C81)</f>
        <v>0</v>
      </c>
      <c r="D78" s="41">
        <f t="shared" ref="D78:AF78" si="16">SUM(D79:D82)</f>
        <v>3701922</v>
      </c>
      <c r="E78" s="41">
        <f t="shared" si="16"/>
        <v>0</v>
      </c>
      <c r="F78" s="41">
        <f t="shared" si="16"/>
        <v>0</v>
      </c>
      <c r="G78" s="41">
        <f t="shared" si="16"/>
        <v>0</v>
      </c>
      <c r="H78" s="41">
        <f t="shared" si="16"/>
        <v>0</v>
      </c>
      <c r="I78" s="41">
        <f t="shared" si="16"/>
        <v>0</v>
      </c>
      <c r="J78" s="41">
        <f t="shared" si="16"/>
        <v>0</v>
      </c>
      <c r="K78" s="41">
        <f t="shared" si="16"/>
        <v>0</v>
      </c>
      <c r="L78" s="41">
        <f t="shared" si="16"/>
        <v>0</v>
      </c>
      <c r="M78" s="41">
        <f t="shared" si="16"/>
        <v>1000000</v>
      </c>
      <c r="N78" s="41">
        <f t="shared" si="16"/>
        <v>193970</v>
      </c>
      <c r="O78" s="41">
        <f t="shared" si="16"/>
        <v>0</v>
      </c>
      <c r="P78" s="41">
        <f t="shared" si="16"/>
        <v>0</v>
      </c>
      <c r="Q78" s="41">
        <f t="shared" si="16"/>
        <v>0</v>
      </c>
      <c r="R78" s="41">
        <f t="shared" si="16"/>
        <v>0</v>
      </c>
      <c r="S78" s="41">
        <f t="shared" si="16"/>
        <v>0</v>
      </c>
      <c r="T78" s="41">
        <f t="shared" si="16"/>
        <v>0</v>
      </c>
      <c r="U78" s="41">
        <f t="shared" si="16"/>
        <v>0</v>
      </c>
      <c r="V78" s="41">
        <f t="shared" si="16"/>
        <v>0</v>
      </c>
      <c r="W78" s="41">
        <f t="shared" si="16"/>
        <v>0</v>
      </c>
      <c r="X78" s="41">
        <f t="shared" si="16"/>
        <v>475875</v>
      </c>
      <c r="Y78" s="41">
        <f t="shared" si="16"/>
        <v>0</v>
      </c>
      <c r="Z78" s="41">
        <f t="shared" si="16"/>
        <v>0</v>
      </c>
      <c r="AA78" s="41">
        <f t="shared" si="16"/>
        <v>40103</v>
      </c>
      <c r="AB78" s="41">
        <f t="shared" si="16"/>
        <v>0</v>
      </c>
      <c r="AC78" s="41">
        <f t="shared" si="16"/>
        <v>530000</v>
      </c>
      <c r="AD78" s="41">
        <f t="shared" si="16"/>
        <v>0</v>
      </c>
      <c r="AE78" s="41">
        <f t="shared" si="16"/>
        <v>0</v>
      </c>
      <c r="AF78" s="41">
        <f t="shared" si="16"/>
        <v>0</v>
      </c>
      <c r="AG78" s="41">
        <f>sum(AG79:AG81)</f>
        <v>0</v>
      </c>
      <c r="AH78" s="34">
        <f>sum(AH79:AH82)</f>
        <v>5941870</v>
      </c>
    </row>
    <row r="79">
      <c r="A79" s="16" t="s">
        <v>75</v>
      </c>
      <c r="B79" s="27">
        <f t="shared" si="17"/>
        <v>0</v>
      </c>
      <c r="C79" s="20">
        <v>0.0</v>
      </c>
      <c r="D79" s="20">
        <v>0.0</v>
      </c>
      <c r="E79" s="20">
        <v>0.0</v>
      </c>
      <c r="F79" s="20">
        <v>0.0</v>
      </c>
      <c r="G79" s="20">
        <v>0.0</v>
      </c>
      <c r="H79" s="20">
        <v>0.0</v>
      </c>
      <c r="I79" s="20">
        <v>0.0</v>
      </c>
      <c r="J79" s="20">
        <v>0.0</v>
      </c>
      <c r="K79" s="20">
        <v>0.0</v>
      </c>
      <c r="L79" s="20">
        <v>0.0</v>
      </c>
      <c r="M79" s="20">
        <v>0.0</v>
      </c>
      <c r="N79" s="20">
        <v>0.0</v>
      </c>
      <c r="O79" s="20">
        <v>0.0</v>
      </c>
      <c r="P79" s="20">
        <v>0.0</v>
      </c>
      <c r="Q79" s="20">
        <v>0.0</v>
      </c>
      <c r="R79" s="20">
        <v>0.0</v>
      </c>
      <c r="S79" s="20">
        <v>0.0</v>
      </c>
      <c r="T79" s="20">
        <v>0.0</v>
      </c>
      <c r="U79" s="20">
        <v>0.0</v>
      </c>
      <c r="V79" s="20">
        <v>0.0</v>
      </c>
      <c r="W79" s="20">
        <v>0.0</v>
      </c>
      <c r="X79" s="20">
        <v>0.0</v>
      </c>
      <c r="Y79" s="20">
        <v>0.0</v>
      </c>
      <c r="Z79" s="20">
        <v>0.0</v>
      </c>
      <c r="AA79" s="20">
        <v>0.0</v>
      </c>
      <c r="AB79" s="20">
        <v>0.0</v>
      </c>
      <c r="AC79" s="20">
        <v>0.0</v>
      </c>
      <c r="AD79" s="20">
        <v>0.0</v>
      </c>
      <c r="AE79" s="20">
        <v>0.0</v>
      </c>
      <c r="AF79" s="20">
        <v>0.0</v>
      </c>
      <c r="AG79" s="20">
        <v>0.0</v>
      </c>
      <c r="AH79" s="19">
        <f t="shared" ref="AH79:AH82" si="18">SUM(C79:AG79)</f>
        <v>0</v>
      </c>
    </row>
    <row r="80">
      <c r="A80" s="16" t="s">
        <v>76</v>
      </c>
      <c r="B80" s="27">
        <f t="shared" si="17"/>
        <v>0</v>
      </c>
      <c r="C80" s="20">
        <v>0.0</v>
      </c>
      <c r="D80" s="20">
        <v>0.0</v>
      </c>
      <c r="E80" s="20">
        <v>0.0</v>
      </c>
      <c r="F80" s="20">
        <v>0.0</v>
      </c>
      <c r="G80" s="20">
        <v>0.0</v>
      </c>
      <c r="H80" s="20">
        <v>0.0</v>
      </c>
      <c r="I80" s="20">
        <v>0.0</v>
      </c>
      <c r="J80" s="20">
        <v>0.0</v>
      </c>
      <c r="K80" s="20">
        <v>0.0</v>
      </c>
      <c r="L80" s="20">
        <v>0.0</v>
      </c>
      <c r="M80" s="20">
        <v>0.0</v>
      </c>
      <c r="N80" s="20">
        <v>0.0</v>
      </c>
      <c r="O80" s="20">
        <v>0.0</v>
      </c>
      <c r="P80" s="20">
        <v>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  <c r="V80" s="20">
        <v>0.0</v>
      </c>
      <c r="W80" s="20">
        <v>0.0</v>
      </c>
      <c r="X80" s="20">
        <v>0.0</v>
      </c>
      <c r="Y80" s="20">
        <v>0.0</v>
      </c>
      <c r="Z80" s="20">
        <v>0.0</v>
      </c>
      <c r="AA80" s="20">
        <v>0.0</v>
      </c>
      <c r="AB80" s="20">
        <v>0.0</v>
      </c>
      <c r="AC80" s="20">
        <v>0.0</v>
      </c>
      <c r="AD80" s="20">
        <v>0.0</v>
      </c>
      <c r="AE80" s="20">
        <v>0.0</v>
      </c>
      <c r="AF80" s="20">
        <v>0.0</v>
      </c>
      <c r="AG80" s="20">
        <v>0.0</v>
      </c>
      <c r="AH80" s="19">
        <f t="shared" si="18"/>
        <v>0</v>
      </c>
    </row>
    <row r="81">
      <c r="A81" s="16" t="s">
        <v>77</v>
      </c>
      <c r="B81" s="27">
        <f t="shared" si="17"/>
        <v>0</v>
      </c>
      <c r="C81" s="20">
        <v>0.0</v>
      </c>
      <c r="D81" s="20">
        <v>0.0</v>
      </c>
      <c r="E81" s="20">
        <v>0.0</v>
      </c>
      <c r="F81" s="20">
        <v>0.0</v>
      </c>
      <c r="G81" s="20">
        <v>0.0</v>
      </c>
      <c r="H81" s="20">
        <v>0.0</v>
      </c>
      <c r="I81" s="20">
        <v>0.0</v>
      </c>
      <c r="J81" s="20">
        <v>0.0</v>
      </c>
      <c r="K81" s="20">
        <v>0.0</v>
      </c>
      <c r="L81" s="20">
        <v>0.0</v>
      </c>
      <c r="M81" s="20">
        <v>0.0</v>
      </c>
      <c r="N81" s="20">
        <v>0.0</v>
      </c>
      <c r="O81" s="20">
        <v>0.0</v>
      </c>
      <c r="P81" s="20">
        <v>0.0</v>
      </c>
      <c r="Q81" s="20">
        <v>0.0</v>
      </c>
      <c r="R81" s="20">
        <v>0.0</v>
      </c>
      <c r="S81" s="20">
        <v>0.0</v>
      </c>
      <c r="T81" s="20">
        <v>0.0</v>
      </c>
      <c r="U81" s="20">
        <v>0.0</v>
      </c>
      <c r="V81" s="20">
        <v>0.0</v>
      </c>
      <c r="W81" s="20">
        <v>0.0</v>
      </c>
      <c r="X81" s="20">
        <v>0.0</v>
      </c>
      <c r="Y81" s="20">
        <v>0.0</v>
      </c>
      <c r="Z81" s="20">
        <v>0.0</v>
      </c>
      <c r="AA81" s="20">
        <v>0.0</v>
      </c>
      <c r="AB81" s="20">
        <v>0.0</v>
      </c>
      <c r="AC81" s="20">
        <v>0.0</v>
      </c>
      <c r="AD81" s="20">
        <v>0.0</v>
      </c>
      <c r="AE81" s="20">
        <v>0.0</v>
      </c>
      <c r="AF81" s="20">
        <v>0.0</v>
      </c>
      <c r="AG81" s="20">
        <v>0.0</v>
      </c>
      <c r="AH81" s="19">
        <f t="shared" si="18"/>
        <v>0</v>
      </c>
    </row>
    <row r="82">
      <c r="A82" s="39" t="s">
        <v>78</v>
      </c>
      <c r="B82" s="27">
        <f t="shared" si="17"/>
        <v>0.1574028147</v>
      </c>
      <c r="C82" s="20">
        <v>0.0</v>
      </c>
      <c r="D82" s="17">
        <v>3701922.0</v>
      </c>
      <c r="E82" s="20">
        <v>0.0</v>
      </c>
      <c r="F82" s="20">
        <v>0.0</v>
      </c>
      <c r="G82" s="20">
        <v>0.0</v>
      </c>
      <c r="H82" s="20">
        <v>0.0</v>
      </c>
      <c r="I82" s="20">
        <v>0.0</v>
      </c>
      <c r="J82" s="20">
        <v>0.0</v>
      </c>
      <c r="K82" s="20">
        <v>0.0</v>
      </c>
      <c r="L82" s="20">
        <v>0.0</v>
      </c>
      <c r="M82" s="17">
        <v>1000000.0</v>
      </c>
      <c r="N82" s="17">
        <v>193970.0</v>
      </c>
      <c r="O82" s="20">
        <v>0.0</v>
      </c>
      <c r="P82" s="20">
        <v>0.0</v>
      </c>
      <c r="Q82" s="20">
        <v>0.0</v>
      </c>
      <c r="R82" s="20">
        <v>0.0</v>
      </c>
      <c r="S82" s="20">
        <v>0.0</v>
      </c>
      <c r="T82" s="20">
        <v>0.0</v>
      </c>
      <c r="U82" s="20">
        <v>0.0</v>
      </c>
      <c r="V82" s="20">
        <v>0.0</v>
      </c>
      <c r="W82" s="20">
        <v>0.0</v>
      </c>
      <c r="X82" s="17">
        <v>475875.0</v>
      </c>
      <c r="Y82" s="20">
        <v>0.0</v>
      </c>
      <c r="Z82" s="20">
        <v>0.0</v>
      </c>
      <c r="AA82" s="17">
        <v>40103.0</v>
      </c>
      <c r="AB82" s="20">
        <v>0.0</v>
      </c>
      <c r="AC82" s="17">
        <v>530000.0</v>
      </c>
      <c r="AD82" s="20">
        <v>0.0</v>
      </c>
      <c r="AE82" s="20">
        <v>0.0</v>
      </c>
      <c r="AF82" s="20">
        <v>0.0</v>
      </c>
      <c r="AG82" s="20">
        <v>0.0</v>
      </c>
      <c r="AH82" s="19">
        <f t="shared" si="18"/>
        <v>5941870</v>
      </c>
    </row>
    <row r="83">
      <c r="A83" s="39"/>
      <c r="B83" s="27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42" t="s">
        <v>79</v>
      </c>
      <c r="B84" s="43">
        <f t="shared" ref="B84:B88" si="20">AH84/$AH$10</f>
        <v>0.1249381845</v>
      </c>
      <c r="C84" s="44">
        <f t="shared" ref="C84:AH84" si="19">sum(C85:C88)</f>
        <v>460007</v>
      </c>
      <c r="D84" s="44">
        <f t="shared" si="19"/>
        <v>0</v>
      </c>
      <c r="E84" s="44">
        <f t="shared" si="19"/>
        <v>0</v>
      </c>
      <c r="F84" s="44">
        <f t="shared" si="19"/>
        <v>0</v>
      </c>
      <c r="G84" s="44">
        <f t="shared" si="19"/>
        <v>590790</v>
      </c>
      <c r="H84" s="44">
        <f t="shared" si="19"/>
        <v>0</v>
      </c>
      <c r="I84" s="44">
        <f t="shared" si="19"/>
        <v>0</v>
      </c>
      <c r="J84" s="44">
        <f t="shared" si="19"/>
        <v>0</v>
      </c>
      <c r="K84" s="44">
        <f t="shared" si="19"/>
        <v>411279</v>
      </c>
      <c r="L84" s="44">
        <f t="shared" si="19"/>
        <v>0</v>
      </c>
      <c r="M84" s="44">
        <f t="shared" si="19"/>
        <v>0</v>
      </c>
      <c r="N84" s="44">
        <f t="shared" si="19"/>
        <v>547091</v>
      </c>
      <c r="O84" s="44">
        <f t="shared" si="19"/>
        <v>0</v>
      </c>
      <c r="P84" s="44">
        <f t="shared" si="19"/>
        <v>0</v>
      </c>
      <c r="Q84" s="44">
        <f t="shared" si="19"/>
        <v>428382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537322</v>
      </c>
      <c r="V84" s="44">
        <f t="shared" si="19"/>
        <v>0</v>
      </c>
      <c r="W84" s="44">
        <f t="shared" si="19"/>
        <v>0</v>
      </c>
      <c r="X84" s="44">
        <f t="shared" si="19"/>
        <v>419849</v>
      </c>
      <c r="Y84" s="44">
        <f t="shared" si="19"/>
        <v>0</v>
      </c>
      <c r="Z84" s="44">
        <f t="shared" si="19"/>
        <v>0</v>
      </c>
      <c r="AA84" s="44">
        <f t="shared" si="19"/>
        <v>0</v>
      </c>
      <c r="AB84" s="44">
        <f t="shared" si="19"/>
        <v>864572</v>
      </c>
      <c r="AC84" s="44">
        <f t="shared" si="19"/>
        <v>0</v>
      </c>
      <c r="AD84" s="44">
        <f t="shared" si="19"/>
        <v>0</v>
      </c>
      <c r="AE84" s="44">
        <f t="shared" si="19"/>
        <v>457056</v>
      </c>
      <c r="AF84" s="44">
        <f t="shared" si="19"/>
        <v>0</v>
      </c>
      <c r="AG84" s="44">
        <f t="shared" si="19"/>
        <v>0</v>
      </c>
      <c r="AH84" s="45">
        <f t="shared" si="19"/>
        <v>4716348</v>
      </c>
    </row>
    <row r="85">
      <c r="A85" s="16" t="s">
        <v>80</v>
      </c>
      <c r="B85" s="27">
        <f t="shared" si="20"/>
        <v>0.06670653126</v>
      </c>
      <c r="C85" s="17">
        <v>0.0</v>
      </c>
      <c r="D85" s="17">
        <v>0.0</v>
      </c>
      <c r="E85" s="17">
        <v>0.0</v>
      </c>
      <c r="F85" s="17">
        <v>0.0</v>
      </c>
      <c r="G85" s="17">
        <v>586040.0</v>
      </c>
      <c r="H85" s="17">
        <v>0.0</v>
      </c>
      <c r="I85" s="17">
        <v>0.0</v>
      </c>
      <c r="J85" s="17">
        <v>0.0</v>
      </c>
      <c r="K85" s="17">
        <v>0.0</v>
      </c>
      <c r="L85" s="17">
        <v>0.0</v>
      </c>
      <c r="M85" s="17">
        <v>0.0</v>
      </c>
      <c r="N85" s="17">
        <v>544196.0</v>
      </c>
      <c r="O85" s="17">
        <v>0.0</v>
      </c>
      <c r="P85" s="17">
        <v>0.0</v>
      </c>
      <c r="Q85" s="17">
        <v>0.0</v>
      </c>
      <c r="R85" s="17">
        <v>0.0</v>
      </c>
      <c r="S85" s="17">
        <v>0.0</v>
      </c>
      <c r="T85" s="17">
        <v>0.0</v>
      </c>
      <c r="U85" s="17">
        <v>523327.0</v>
      </c>
      <c r="V85" s="17">
        <v>0.0</v>
      </c>
      <c r="W85" s="17">
        <v>0.0</v>
      </c>
      <c r="X85" s="17">
        <v>0.0</v>
      </c>
      <c r="Y85" s="17">
        <v>0.0</v>
      </c>
      <c r="Z85" s="17">
        <v>0.0</v>
      </c>
      <c r="AA85" s="17">
        <v>0.0</v>
      </c>
      <c r="AB85" s="17">
        <f>18000+846572</f>
        <v>864572</v>
      </c>
      <c r="AC85" s="17">
        <v>0.0</v>
      </c>
      <c r="AD85" s="17">
        <v>0.0</v>
      </c>
      <c r="AE85" s="17">
        <v>0.0</v>
      </c>
      <c r="AF85" s="17">
        <v>0.0</v>
      </c>
      <c r="AG85" s="17">
        <v>0.0</v>
      </c>
      <c r="AH85" s="19">
        <f t="shared" ref="AH85:AH88" si="21">SUM(C85:AG85)</f>
        <v>2518135</v>
      </c>
    </row>
    <row r="86">
      <c r="A86" s="16" t="s">
        <v>81</v>
      </c>
      <c r="B86" s="27">
        <f t="shared" si="20"/>
        <v>0</v>
      </c>
      <c r="C86" s="20">
        <v>0.0</v>
      </c>
      <c r="D86" s="20">
        <v>0.0</v>
      </c>
      <c r="E86" s="20">
        <v>0.0</v>
      </c>
      <c r="F86" s="20">
        <v>0.0</v>
      </c>
      <c r="G86" s="20">
        <v>0.0</v>
      </c>
      <c r="H86" s="20">
        <v>0.0</v>
      </c>
      <c r="I86" s="20">
        <v>0.0</v>
      </c>
      <c r="J86" s="20">
        <v>0.0</v>
      </c>
      <c r="K86" s="20">
        <v>0.0</v>
      </c>
      <c r="L86" s="20">
        <v>0.0</v>
      </c>
      <c r="M86" s="20">
        <v>0.0</v>
      </c>
      <c r="N86" s="20">
        <v>0.0</v>
      </c>
      <c r="O86" s="20">
        <v>0.0</v>
      </c>
      <c r="P86" s="20">
        <v>0.0</v>
      </c>
      <c r="Q86" s="20">
        <v>0.0</v>
      </c>
      <c r="R86" s="20">
        <v>0.0</v>
      </c>
      <c r="S86" s="20">
        <v>0.0</v>
      </c>
      <c r="T86" s="20">
        <v>0.0</v>
      </c>
      <c r="U86" s="20">
        <v>0.0</v>
      </c>
      <c r="V86" s="20">
        <v>0.0</v>
      </c>
      <c r="W86" s="20">
        <v>0.0</v>
      </c>
      <c r="X86" s="20">
        <v>0.0</v>
      </c>
      <c r="Y86" s="20">
        <v>0.0</v>
      </c>
      <c r="Z86" s="20">
        <v>0.0</v>
      </c>
      <c r="AA86" s="20">
        <v>0.0</v>
      </c>
      <c r="AB86" s="20">
        <v>0.0</v>
      </c>
      <c r="AC86" s="20">
        <v>0.0</v>
      </c>
      <c r="AD86" s="20">
        <v>0.0</v>
      </c>
      <c r="AE86" s="20">
        <v>0.0</v>
      </c>
      <c r="AF86" s="20">
        <v>0.0</v>
      </c>
      <c r="AG86" s="20">
        <v>0.0</v>
      </c>
      <c r="AH86" s="19">
        <f t="shared" si="21"/>
        <v>0</v>
      </c>
    </row>
    <row r="87">
      <c r="A87" s="16" t="s">
        <v>82</v>
      </c>
      <c r="B87" s="27">
        <f t="shared" si="20"/>
        <v>0.0005732533548</v>
      </c>
      <c r="C87" s="20">
        <v>0.0</v>
      </c>
      <c r="D87" s="20">
        <v>0.0</v>
      </c>
      <c r="E87" s="20">
        <v>0.0</v>
      </c>
      <c r="F87" s="20">
        <v>0.0</v>
      </c>
      <c r="G87" s="17">
        <v>4750.0</v>
      </c>
      <c r="H87" s="20">
        <v>0.0</v>
      </c>
      <c r="I87" s="20">
        <v>0.0</v>
      </c>
      <c r="J87" s="20">
        <v>0.0</v>
      </c>
      <c r="K87" s="20">
        <v>0.0</v>
      </c>
      <c r="L87" s="20">
        <v>0.0</v>
      </c>
      <c r="M87" s="17">
        <v>0.0</v>
      </c>
      <c r="N87" s="17">
        <v>2895.0</v>
      </c>
      <c r="O87" s="20">
        <v>0.0</v>
      </c>
      <c r="P87" s="20">
        <v>0.0</v>
      </c>
      <c r="Q87" s="20">
        <v>0.0</v>
      </c>
      <c r="R87" s="20">
        <v>0.0</v>
      </c>
      <c r="S87" s="20">
        <v>0.0</v>
      </c>
      <c r="T87" s="20">
        <v>0.0</v>
      </c>
      <c r="U87" s="20">
        <f>5990+8005</f>
        <v>13995</v>
      </c>
      <c r="V87" s="20">
        <v>0.0</v>
      </c>
      <c r="W87" s="20">
        <v>0.0</v>
      </c>
      <c r="X87" s="20">
        <v>0.0</v>
      </c>
      <c r="Y87" s="20">
        <v>0.0</v>
      </c>
      <c r="Z87" s="20">
        <v>0.0</v>
      </c>
      <c r="AA87" s="20">
        <v>0.0</v>
      </c>
      <c r="AB87" s="20">
        <v>0.0</v>
      </c>
      <c r="AC87" s="20">
        <v>0.0</v>
      </c>
      <c r="AD87" s="20">
        <v>0.0</v>
      </c>
      <c r="AE87" s="20">
        <v>0.0</v>
      </c>
      <c r="AF87" s="20">
        <v>0.0</v>
      </c>
      <c r="AG87" s="20">
        <v>0.0</v>
      </c>
      <c r="AH87" s="19">
        <f t="shared" si="21"/>
        <v>21640</v>
      </c>
    </row>
    <row r="88">
      <c r="A88" s="16" t="s">
        <v>83</v>
      </c>
      <c r="B88" s="27">
        <f t="shared" si="20"/>
        <v>0.05765839992</v>
      </c>
      <c r="C88" s="17">
        <v>460007.0</v>
      </c>
      <c r="D88" s="20">
        <v>0.0</v>
      </c>
      <c r="E88" s="20">
        <v>0.0</v>
      </c>
      <c r="F88" s="20">
        <v>0.0</v>
      </c>
      <c r="G88" s="20">
        <v>0.0</v>
      </c>
      <c r="H88" s="20">
        <v>0.0</v>
      </c>
      <c r="I88" s="20">
        <v>0.0</v>
      </c>
      <c r="J88" s="17">
        <v>0.0</v>
      </c>
      <c r="K88" s="17">
        <v>411279.0</v>
      </c>
      <c r="L88" s="20">
        <v>0.0</v>
      </c>
      <c r="M88" s="20">
        <v>0.0</v>
      </c>
      <c r="N88" s="20">
        <v>0.0</v>
      </c>
      <c r="O88" s="20">
        <v>0.0</v>
      </c>
      <c r="P88" s="20">
        <v>0.0</v>
      </c>
      <c r="Q88" s="17">
        <v>428382.0</v>
      </c>
      <c r="R88" s="20">
        <v>0.0</v>
      </c>
      <c r="S88" s="20">
        <v>0.0</v>
      </c>
      <c r="T88" s="20">
        <v>0.0</v>
      </c>
      <c r="U88" s="20">
        <v>0.0</v>
      </c>
      <c r="V88" s="20">
        <v>0.0</v>
      </c>
      <c r="W88" s="20">
        <v>0.0</v>
      </c>
      <c r="X88" s="17">
        <v>419849.0</v>
      </c>
      <c r="Y88" s="20">
        <v>0.0</v>
      </c>
      <c r="Z88" s="20">
        <v>0.0</v>
      </c>
      <c r="AA88" s="20">
        <v>0.0</v>
      </c>
      <c r="AB88" s="20">
        <v>0.0</v>
      </c>
      <c r="AC88" s="20">
        <v>0.0</v>
      </c>
      <c r="AD88" s="20">
        <v>0.0</v>
      </c>
      <c r="AE88" s="17">
        <v>457056.0</v>
      </c>
      <c r="AF88" s="20">
        <v>0.0</v>
      </c>
      <c r="AG88" s="20">
        <v>0.0</v>
      </c>
      <c r="AH88" s="19">
        <f t="shared" si="21"/>
        <v>2176573</v>
      </c>
    </row>
    <row r="89">
      <c r="A89" s="7"/>
      <c r="B89" s="8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47" t="s">
        <v>84</v>
      </c>
      <c r="B90" s="48">
        <f t="shared" ref="B90:B99" si="23">AH90/$AH$10</f>
        <v>0.28080903</v>
      </c>
      <c r="C90" s="49">
        <f t="shared" ref="C90:AG90" si="22">sum(C91:C99)</f>
        <v>0</v>
      </c>
      <c r="D90" s="49">
        <f t="shared" si="22"/>
        <v>40000</v>
      </c>
      <c r="E90" s="49">
        <f t="shared" si="22"/>
        <v>0</v>
      </c>
      <c r="F90" s="49">
        <f t="shared" si="22"/>
        <v>0</v>
      </c>
      <c r="G90" s="49">
        <f t="shared" si="22"/>
        <v>0</v>
      </c>
      <c r="H90" s="49">
        <f t="shared" si="22"/>
        <v>228720</v>
      </c>
      <c r="I90" s="49">
        <f t="shared" si="22"/>
        <v>0</v>
      </c>
      <c r="J90" s="49">
        <f t="shared" si="22"/>
        <v>325000</v>
      </c>
      <c r="K90" s="49">
        <f t="shared" si="22"/>
        <v>0</v>
      </c>
      <c r="L90" s="49">
        <f t="shared" si="22"/>
        <v>0</v>
      </c>
      <c r="M90" s="49">
        <f t="shared" si="22"/>
        <v>1864821</v>
      </c>
      <c r="N90" s="49">
        <f t="shared" si="22"/>
        <v>0</v>
      </c>
      <c r="O90" s="49">
        <f t="shared" si="22"/>
        <v>0</v>
      </c>
      <c r="P90" s="49">
        <f t="shared" si="22"/>
        <v>0</v>
      </c>
      <c r="Q90" s="49">
        <f t="shared" si="22"/>
        <v>1275000</v>
      </c>
      <c r="R90" s="49">
        <f t="shared" si="22"/>
        <v>0</v>
      </c>
      <c r="S90" s="49">
        <f t="shared" si="22"/>
        <v>0</v>
      </c>
      <c r="T90" s="49">
        <f t="shared" si="22"/>
        <v>0</v>
      </c>
      <c r="U90" s="49">
        <f t="shared" si="22"/>
        <v>19900</v>
      </c>
      <c r="V90" s="49">
        <f t="shared" si="22"/>
        <v>0</v>
      </c>
      <c r="W90" s="49">
        <f t="shared" si="22"/>
        <v>0</v>
      </c>
      <c r="X90" s="49">
        <f t="shared" si="22"/>
        <v>0</v>
      </c>
      <c r="Y90" s="49">
        <f t="shared" si="22"/>
        <v>0</v>
      </c>
      <c r="Z90" s="49">
        <f t="shared" si="22"/>
        <v>0</v>
      </c>
      <c r="AA90" s="49">
        <f t="shared" si="22"/>
        <v>0</v>
      </c>
      <c r="AB90" s="49">
        <f t="shared" si="22"/>
        <v>0</v>
      </c>
      <c r="AC90" s="49">
        <f t="shared" si="22"/>
        <v>8085</v>
      </c>
      <c r="AD90" s="49">
        <f t="shared" si="22"/>
        <v>0</v>
      </c>
      <c r="AE90" s="49">
        <f t="shared" si="22"/>
        <v>0</v>
      </c>
      <c r="AF90" s="49">
        <f t="shared" si="22"/>
        <v>6838861</v>
      </c>
      <c r="AG90" s="49">
        <f t="shared" si="22"/>
        <v>0</v>
      </c>
      <c r="AH90" s="50">
        <f>SUM(AH91:AH99)</f>
        <v>10600387</v>
      </c>
    </row>
    <row r="91">
      <c r="A91" s="16" t="s">
        <v>85</v>
      </c>
      <c r="B91" s="27">
        <f t="shared" si="23"/>
        <v>0</v>
      </c>
      <c r="C91" s="20">
        <v>0.0</v>
      </c>
      <c r="D91" s="20">
        <v>0.0</v>
      </c>
      <c r="E91" s="20">
        <v>0.0</v>
      </c>
      <c r="F91" s="20">
        <v>0.0</v>
      </c>
      <c r="G91" s="20">
        <v>0.0</v>
      </c>
      <c r="H91" s="20">
        <v>0.0</v>
      </c>
      <c r="I91" s="20">
        <v>0.0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  <c r="O91" s="20">
        <v>0.0</v>
      </c>
      <c r="P91" s="20">
        <v>0.0</v>
      </c>
      <c r="Q91" s="20">
        <v>0.0</v>
      </c>
      <c r="R91" s="20">
        <v>0.0</v>
      </c>
      <c r="S91" s="20">
        <v>0.0</v>
      </c>
      <c r="T91" s="20">
        <v>0.0</v>
      </c>
      <c r="U91" s="20">
        <v>0.0</v>
      </c>
      <c r="V91" s="20">
        <v>0.0</v>
      </c>
      <c r="W91" s="20">
        <v>0.0</v>
      </c>
      <c r="X91" s="20">
        <v>0.0</v>
      </c>
      <c r="Y91" s="20">
        <v>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v>0.0</v>
      </c>
      <c r="AG91" s="20">
        <v>0.0</v>
      </c>
      <c r="AH91" s="19">
        <f t="shared" ref="AH91:AH99" si="24">SUM(C91:AG91)</f>
        <v>0</v>
      </c>
    </row>
    <row r="92">
      <c r="A92" s="16" t="s">
        <v>86</v>
      </c>
      <c r="B92" s="27">
        <f t="shared" si="23"/>
        <v>0.2109662678</v>
      </c>
      <c r="C92" s="20">
        <v>0.0</v>
      </c>
      <c r="D92" s="20">
        <v>0.0</v>
      </c>
      <c r="E92" s="20">
        <v>0.0</v>
      </c>
      <c r="F92" s="20">
        <v>0.0</v>
      </c>
      <c r="G92" s="20">
        <v>0.0</v>
      </c>
      <c r="H92" s="20">
        <v>0.0</v>
      </c>
      <c r="I92" s="20">
        <v>0.0</v>
      </c>
      <c r="J92" s="20">
        <v>0.0</v>
      </c>
      <c r="K92" s="20">
        <v>0.0</v>
      </c>
      <c r="L92" s="20">
        <v>0.0</v>
      </c>
      <c r="M92" s="20">
        <v>0.0</v>
      </c>
      <c r="N92" s="20">
        <v>0.0</v>
      </c>
      <c r="O92" s="20">
        <v>0.0</v>
      </c>
      <c r="P92" s="20">
        <v>0.0</v>
      </c>
      <c r="Q92" s="20">
        <f>275000+500000+200000+100000+50000</f>
        <v>1125000</v>
      </c>
      <c r="R92" s="20">
        <v>0.0</v>
      </c>
      <c r="S92" s="20">
        <v>0.0</v>
      </c>
      <c r="T92" s="20">
        <v>0.0</v>
      </c>
      <c r="U92" s="20">
        <v>0.0</v>
      </c>
      <c r="V92" s="20">
        <v>0.0</v>
      </c>
      <c r="W92" s="20">
        <v>0.0</v>
      </c>
      <c r="X92" s="20">
        <v>0.0</v>
      </c>
      <c r="Y92" s="20">
        <v>0.0</v>
      </c>
      <c r="Z92" s="20">
        <v>0.0</v>
      </c>
      <c r="AA92" s="20">
        <v>0.0</v>
      </c>
      <c r="AB92" s="20">
        <v>0.0</v>
      </c>
      <c r="AC92" s="20">
        <v>0.0</v>
      </c>
      <c r="AD92" s="20">
        <v>0.0</v>
      </c>
      <c r="AE92" s="20">
        <v>0.0</v>
      </c>
      <c r="AF92" s="20">
        <f>578530+175000+225000+580391+611625+800225+581030+1000000+531030+600000+575000+581030</f>
        <v>6838861</v>
      </c>
      <c r="AG92" s="20">
        <v>0.0</v>
      </c>
      <c r="AH92" s="19">
        <f t="shared" si="24"/>
        <v>7963861</v>
      </c>
    </row>
    <row r="93">
      <c r="A93" s="16" t="s">
        <v>87</v>
      </c>
      <c r="B93" s="27">
        <f t="shared" si="23"/>
        <v>0.0002141752945</v>
      </c>
      <c r="C93" s="17">
        <v>0.0</v>
      </c>
      <c r="D93" s="17">
        <v>0.0</v>
      </c>
      <c r="E93" s="17">
        <v>0.0</v>
      </c>
      <c r="F93" s="17">
        <v>0.0</v>
      </c>
      <c r="G93" s="17">
        <v>0.0</v>
      </c>
      <c r="H93" s="17">
        <v>0.0</v>
      </c>
      <c r="I93" s="17">
        <v>0.0</v>
      </c>
      <c r="J93" s="17">
        <v>0.0</v>
      </c>
      <c r="K93" s="17">
        <v>0.0</v>
      </c>
      <c r="L93" s="17">
        <v>0.0</v>
      </c>
      <c r="M93" s="17">
        <v>0.0</v>
      </c>
      <c r="N93" s="17">
        <v>0.0</v>
      </c>
      <c r="O93" s="17">
        <v>0.0</v>
      </c>
      <c r="P93" s="17">
        <v>0.0</v>
      </c>
      <c r="Q93" s="17">
        <v>0.0</v>
      </c>
      <c r="R93" s="17">
        <v>0.0</v>
      </c>
      <c r="S93" s="17">
        <v>0.0</v>
      </c>
      <c r="T93" s="17">
        <v>0.0</v>
      </c>
      <c r="U93" s="17">
        <v>0.0</v>
      </c>
      <c r="V93" s="17">
        <v>0.0</v>
      </c>
      <c r="W93" s="17">
        <v>0.0</v>
      </c>
      <c r="X93" s="17">
        <v>0.0</v>
      </c>
      <c r="Y93" s="17">
        <v>0.0</v>
      </c>
      <c r="Z93" s="17">
        <v>0.0</v>
      </c>
      <c r="AA93" s="17">
        <v>0.0</v>
      </c>
      <c r="AB93" s="17">
        <v>0.0</v>
      </c>
      <c r="AC93" s="17">
        <f>7820+265</f>
        <v>8085</v>
      </c>
      <c r="AD93" s="17">
        <v>0.0</v>
      </c>
      <c r="AE93" s="17">
        <v>0.0</v>
      </c>
      <c r="AF93" s="17">
        <v>0.0</v>
      </c>
      <c r="AG93" s="17">
        <v>0.0</v>
      </c>
      <c r="AH93" s="19">
        <f t="shared" si="24"/>
        <v>8085</v>
      </c>
    </row>
    <row r="94">
      <c r="A94" s="16" t="s">
        <v>88</v>
      </c>
      <c r="B94" s="27">
        <f t="shared" si="23"/>
        <v>0.001059618031</v>
      </c>
      <c r="C94" s="20">
        <v>0.0</v>
      </c>
      <c r="D94" s="17">
        <v>40000.0</v>
      </c>
      <c r="E94" s="20">
        <v>0.0</v>
      </c>
      <c r="F94" s="20">
        <v>0.0</v>
      </c>
      <c r="G94" s="20">
        <v>0.0</v>
      </c>
      <c r="H94" s="20">
        <v>0.0</v>
      </c>
      <c r="I94" s="20">
        <v>0.0</v>
      </c>
      <c r="J94" s="20">
        <v>0.0</v>
      </c>
      <c r="K94" s="20">
        <v>0.0</v>
      </c>
      <c r="L94" s="20">
        <v>0.0</v>
      </c>
      <c r="M94" s="20">
        <v>0.0</v>
      </c>
      <c r="N94" s="20">
        <v>0.0</v>
      </c>
      <c r="O94" s="20">
        <v>0.0</v>
      </c>
      <c r="P94" s="20">
        <v>0.0</v>
      </c>
      <c r="Q94" s="20">
        <v>0.0</v>
      </c>
      <c r="R94" s="20">
        <v>0.0</v>
      </c>
      <c r="S94" s="20">
        <v>0.0</v>
      </c>
      <c r="T94" s="20">
        <v>0.0</v>
      </c>
      <c r="U94" s="20">
        <v>0.0</v>
      </c>
      <c r="V94" s="20">
        <v>0.0</v>
      </c>
      <c r="W94" s="20">
        <v>0.0</v>
      </c>
      <c r="X94" s="20">
        <v>0.0</v>
      </c>
      <c r="Y94" s="20">
        <v>0.0</v>
      </c>
      <c r="Z94" s="20">
        <v>0.0</v>
      </c>
      <c r="AA94" s="20">
        <v>0.0</v>
      </c>
      <c r="AB94" s="20">
        <v>0.0</v>
      </c>
      <c r="AC94" s="20">
        <v>0.0</v>
      </c>
      <c r="AD94" s="20">
        <v>0.0</v>
      </c>
      <c r="AE94" s="20">
        <v>0.0</v>
      </c>
      <c r="AF94" s="20">
        <v>0.0</v>
      </c>
      <c r="AG94" s="20">
        <v>0.0</v>
      </c>
      <c r="AH94" s="19">
        <f t="shared" si="24"/>
        <v>40000</v>
      </c>
    </row>
    <row r="95">
      <c r="A95" s="16" t="s">
        <v>89</v>
      </c>
      <c r="B95" s="27">
        <f t="shared" si="23"/>
        <v>0.01003246352</v>
      </c>
      <c r="C95" s="20">
        <v>0.0</v>
      </c>
      <c r="D95" s="20">
        <v>0.0</v>
      </c>
      <c r="E95" s="20">
        <v>0.0</v>
      </c>
      <c r="F95" s="20">
        <v>0.0</v>
      </c>
      <c r="G95" s="20">
        <v>0.0</v>
      </c>
      <c r="H95" s="20">
        <f>45744+45744+45744+45744+45744</f>
        <v>228720</v>
      </c>
      <c r="I95" s="20">
        <v>0.0</v>
      </c>
      <c r="J95" s="20">
        <v>0.0</v>
      </c>
      <c r="K95" s="20">
        <v>0.0</v>
      </c>
      <c r="L95" s="20">
        <v>0.0</v>
      </c>
      <c r="M95" s="20">
        <v>0.0</v>
      </c>
      <c r="N95" s="20">
        <v>0.0</v>
      </c>
      <c r="O95" s="20">
        <v>0.0</v>
      </c>
      <c r="P95" s="20">
        <v>0.0</v>
      </c>
      <c r="Q95" s="17">
        <v>150000.0</v>
      </c>
      <c r="R95" s="20">
        <v>0.0</v>
      </c>
      <c r="S95" s="20">
        <v>0.0</v>
      </c>
      <c r="T95" s="20">
        <v>0.0</v>
      </c>
      <c r="U95" s="20">
        <v>0.0</v>
      </c>
      <c r="V95" s="20">
        <v>0.0</v>
      </c>
      <c r="W95" s="20">
        <v>0.0</v>
      </c>
      <c r="X95" s="20">
        <v>0.0</v>
      </c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20">
        <v>0.0</v>
      </c>
      <c r="AF95" s="20">
        <v>0.0</v>
      </c>
      <c r="AG95" s="20">
        <v>0.0</v>
      </c>
      <c r="AH95" s="19">
        <f t="shared" si="24"/>
        <v>378720</v>
      </c>
    </row>
    <row r="96">
      <c r="A96" s="16" t="s">
        <v>90</v>
      </c>
      <c r="B96" s="27">
        <f t="shared" si="23"/>
        <v>0.04939994891</v>
      </c>
      <c r="C96" s="20">
        <v>0.0</v>
      </c>
      <c r="D96" s="20">
        <v>0.0</v>
      </c>
      <c r="E96" s="20">
        <v>0.0</v>
      </c>
      <c r="F96" s="20">
        <v>0.0</v>
      </c>
      <c r="G96" s="20">
        <v>0.0</v>
      </c>
      <c r="H96" s="20">
        <v>0.0</v>
      </c>
      <c r="I96" s="20">
        <v>0.0</v>
      </c>
      <c r="J96" s="20">
        <v>0.0</v>
      </c>
      <c r="K96" s="20">
        <v>0.0</v>
      </c>
      <c r="L96" s="20">
        <v>0.0</v>
      </c>
      <c r="M96" s="17">
        <v>1864821.0</v>
      </c>
      <c r="N96" s="20">
        <v>0.0</v>
      </c>
      <c r="O96" s="20">
        <v>0.0</v>
      </c>
      <c r="P96" s="20">
        <v>0.0</v>
      </c>
      <c r="Q96" s="20">
        <v>0.0</v>
      </c>
      <c r="R96" s="20">
        <v>0.0</v>
      </c>
      <c r="S96" s="20">
        <v>0.0</v>
      </c>
      <c r="T96" s="20">
        <v>0.0</v>
      </c>
      <c r="U96" s="20">
        <v>0.0</v>
      </c>
      <c r="V96" s="20">
        <v>0.0</v>
      </c>
      <c r="W96" s="20">
        <v>0.0</v>
      </c>
      <c r="X96" s="20">
        <v>0.0</v>
      </c>
      <c r="Y96" s="20">
        <v>0.0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20">
        <v>0.0</v>
      </c>
      <c r="AF96" s="20">
        <v>0.0</v>
      </c>
      <c r="AG96" s="20">
        <v>0.0</v>
      </c>
      <c r="AH96" s="19">
        <f t="shared" si="24"/>
        <v>1864821</v>
      </c>
    </row>
    <row r="97">
      <c r="A97" s="16" t="s">
        <v>91</v>
      </c>
      <c r="B97" s="27">
        <f t="shared" si="23"/>
        <v>0</v>
      </c>
      <c r="C97" s="20">
        <v>0.0</v>
      </c>
      <c r="D97" s="20">
        <v>0.0</v>
      </c>
      <c r="E97" s="20">
        <v>0.0</v>
      </c>
      <c r="F97" s="20">
        <v>0.0</v>
      </c>
      <c r="G97" s="20">
        <v>0.0</v>
      </c>
      <c r="H97" s="20">
        <v>0.0</v>
      </c>
      <c r="I97" s="20">
        <v>0.0</v>
      </c>
      <c r="J97" s="20">
        <v>0.0</v>
      </c>
      <c r="K97" s="20">
        <v>0.0</v>
      </c>
      <c r="L97" s="20">
        <v>0.0</v>
      </c>
      <c r="M97" s="20">
        <v>0.0</v>
      </c>
      <c r="N97" s="20">
        <v>0.0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20">
        <v>0.0</v>
      </c>
      <c r="W97" s="20">
        <v>0.0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20">
        <v>0.0</v>
      </c>
      <c r="AD97" s="20">
        <v>0.0</v>
      </c>
      <c r="AE97" s="20">
        <v>0.0</v>
      </c>
      <c r="AF97" s="20">
        <v>0.0</v>
      </c>
      <c r="AG97" s="20">
        <v>0.0</v>
      </c>
      <c r="AH97" s="19">
        <f t="shared" si="24"/>
        <v>0</v>
      </c>
    </row>
    <row r="98">
      <c r="A98" s="16" t="s">
        <v>92</v>
      </c>
      <c r="B98" s="27">
        <f t="shared" si="23"/>
        <v>0.008609396502</v>
      </c>
      <c r="C98" s="20">
        <v>0.0</v>
      </c>
      <c r="D98" s="20">
        <v>0.0</v>
      </c>
      <c r="E98" s="20">
        <v>0.0</v>
      </c>
      <c r="F98" s="20">
        <v>0.0</v>
      </c>
      <c r="G98" s="20">
        <v>0.0</v>
      </c>
      <c r="H98" s="20">
        <v>0.0</v>
      </c>
      <c r="I98" s="20">
        <v>0.0</v>
      </c>
      <c r="J98" s="17">
        <v>325000.0</v>
      </c>
      <c r="K98" s="20">
        <v>0.0</v>
      </c>
      <c r="L98" s="20">
        <v>0.0</v>
      </c>
      <c r="M98" s="20">
        <v>0.0</v>
      </c>
      <c r="N98" s="20">
        <v>0.0</v>
      </c>
      <c r="O98" s="20">
        <v>0.0</v>
      </c>
      <c r="P98" s="20">
        <v>0.0</v>
      </c>
      <c r="Q98" s="20">
        <v>0.0</v>
      </c>
      <c r="R98" s="20">
        <v>0.0</v>
      </c>
      <c r="S98" s="20">
        <v>0.0</v>
      </c>
      <c r="T98" s="20">
        <v>0.0</v>
      </c>
      <c r="U98" s="20">
        <v>0.0</v>
      </c>
      <c r="V98" s="20">
        <v>0.0</v>
      </c>
      <c r="W98" s="20">
        <v>0.0</v>
      </c>
      <c r="X98" s="20">
        <v>0.0</v>
      </c>
      <c r="Y98" s="20">
        <v>0.0</v>
      </c>
      <c r="Z98" s="20">
        <v>0.0</v>
      </c>
      <c r="AA98" s="20">
        <v>0.0</v>
      </c>
      <c r="AB98" s="20">
        <v>0.0</v>
      </c>
      <c r="AC98" s="20">
        <v>0.0</v>
      </c>
      <c r="AD98" s="20">
        <v>0.0</v>
      </c>
      <c r="AE98" s="20">
        <v>0.0</v>
      </c>
      <c r="AF98" s="20">
        <v>0.0</v>
      </c>
      <c r="AG98" s="20">
        <v>0.0</v>
      </c>
      <c r="AH98" s="19">
        <f t="shared" si="24"/>
        <v>325000</v>
      </c>
    </row>
    <row r="99">
      <c r="A99" s="16" t="s">
        <v>93</v>
      </c>
      <c r="B99" s="27">
        <f t="shared" si="23"/>
        <v>0.0005271599704</v>
      </c>
      <c r="C99" s="20">
        <v>0.0</v>
      </c>
      <c r="D99" s="20">
        <v>0.0</v>
      </c>
      <c r="E99" s="20">
        <v>0.0</v>
      </c>
      <c r="F99" s="20">
        <v>0.0</v>
      </c>
      <c r="G99" s="20">
        <v>0.0</v>
      </c>
      <c r="H99" s="20">
        <v>0.0</v>
      </c>
      <c r="I99" s="20">
        <v>0.0</v>
      </c>
      <c r="J99" s="20">
        <v>0.0</v>
      </c>
      <c r="K99" s="20">
        <v>0.0</v>
      </c>
      <c r="L99" s="20">
        <v>0.0</v>
      </c>
      <c r="M99" s="20">
        <v>0.0</v>
      </c>
      <c r="N99" s="20">
        <v>0.0</v>
      </c>
      <c r="O99" s="20">
        <v>0.0</v>
      </c>
      <c r="P99" s="20">
        <v>0.0</v>
      </c>
      <c r="Q99" s="20">
        <v>0.0</v>
      </c>
      <c r="R99" s="20">
        <v>0.0</v>
      </c>
      <c r="S99" s="20">
        <v>0.0</v>
      </c>
      <c r="T99" s="20">
        <v>0.0</v>
      </c>
      <c r="U99" s="17">
        <v>19900.0</v>
      </c>
      <c r="V99" s="20">
        <v>0.0</v>
      </c>
      <c r="W99" s="20">
        <v>0.0</v>
      </c>
      <c r="X99" s="20">
        <v>0.0</v>
      </c>
      <c r="Y99" s="20">
        <v>0.0</v>
      </c>
      <c r="Z99" s="20">
        <v>0.0</v>
      </c>
      <c r="AA99" s="20">
        <v>0.0</v>
      </c>
      <c r="AB99" s="20">
        <v>0.0</v>
      </c>
      <c r="AC99" s="20">
        <v>0.0</v>
      </c>
      <c r="AD99" s="20">
        <v>0.0</v>
      </c>
      <c r="AE99" s="20">
        <v>0.0</v>
      </c>
      <c r="AF99" s="20">
        <v>0.0</v>
      </c>
      <c r="AG99" s="20">
        <v>0.0</v>
      </c>
      <c r="AH99" s="19">
        <f t="shared" si="24"/>
        <v>19900</v>
      </c>
    </row>
    <row r="100">
      <c r="A100" s="7"/>
      <c r="B100" s="8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51" t="s">
        <v>94</v>
      </c>
      <c r="B101" s="52">
        <f t="shared" ref="B101:B103" si="26">AH101/$AH$10</f>
        <v>0.1233402276</v>
      </c>
      <c r="C101" s="53">
        <f t="shared" ref="C101:AH101" si="25">SUM(C102:C103)</f>
        <v>0</v>
      </c>
      <c r="D101" s="53">
        <f t="shared" si="25"/>
        <v>0</v>
      </c>
      <c r="E101" s="53">
        <f t="shared" si="25"/>
        <v>0</v>
      </c>
      <c r="F101" s="53">
        <f t="shared" si="25"/>
        <v>0</v>
      </c>
      <c r="G101" s="53">
        <f t="shared" si="25"/>
        <v>0</v>
      </c>
      <c r="H101" s="53">
        <f t="shared" si="25"/>
        <v>0</v>
      </c>
      <c r="I101" s="53">
        <f t="shared" si="25"/>
        <v>0</v>
      </c>
      <c r="J101" s="53">
        <f t="shared" si="25"/>
        <v>0</v>
      </c>
      <c r="K101" s="53">
        <f t="shared" si="25"/>
        <v>0</v>
      </c>
      <c r="L101" s="53">
        <f t="shared" si="25"/>
        <v>0</v>
      </c>
      <c r="M101" s="53">
        <f t="shared" si="25"/>
        <v>0</v>
      </c>
      <c r="N101" s="53">
        <f t="shared" si="25"/>
        <v>0</v>
      </c>
      <c r="O101" s="53">
        <f t="shared" si="25"/>
        <v>0</v>
      </c>
      <c r="P101" s="53">
        <f t="shared" si="25"/>
        <v>0</v>
      </c>
      <c r="Q101" s="53">
        <f t="shared" si="25"/>
        <v>0</v>
      </c>
      <c r="R101" s="53">
        <f t="shared" si="25"/>
        <v>0</v>
      </c>
      <c r="S101" s="53">
        <f t="shared" si="25"/>
        <v>0</v>
      </c>
      <c r="T101" s="53">
        <f t="shared" si="25"/>
        <v>0</v>
      </c>
      <c r="U101" s="53">
        <f t="shared" si="25"/>
        <v>4444451</v>
      </c>
      <c r="V101" s="53">
        <f t="shared" si="25"/>
        <v>0</v>
      </c>
      <c r="W101" s="53">
        <f t="shared" si="25"/>
        <v>0</v>
      </c>
      <c r="X101" s="53">
        <f t="shared" si="25"/>
        <v>0</v>
      </c>
      <c r="Y101" s="53">
        <f t="shared" si="25"/>
        <v>0</v>
      </c>
      <c r="Z101" s="53">
        <f t="shared" si="25"/>
        <v>0</v>
      </c>
      <c r="AA101" s="53">
        <f t="shared" si="25"/>
        <v>211575</v>
      </c>
      <c r="AB101" s="53">
        <f t="shared" si="25"/>
        <v>0</v>
      </c>
      <c r="AC101" s="53">
        <f t="shared" si="25"/>
        <v>0</v>
      </c>
      <c r="AD101" s="53">
        <f t="shared" si="25"/>
        <v>0</v>
      </c>
      <c r="AE101" s="53">
        <f t="shared" si="25"/>
        <v>0</v>
      </c>
      <c r="AF101" s="53">
        <f t="shared" si="25"/>
        <v>0</v>
      </c>
      <c r="AG101" s="53">
        <f t="shared" si="25"/>
        <v>0</v>
      </c>
      <c r="AH101" s="54">
        <f t="shared" si="25"/>
        <v>4656026</v>
      </c>
    </row>
    <row r="102">
      <c r="A102" s="16" t="s">
        <v>95</v>
      </c>
      <c r="B102" s="27">
        <f t="shared" si="26"/>
        <v>0</v>
      </c>
      <c r="C102" s="20">
        <v>0.0</v>
      </c>
      <c r="D102" s="20">
        <v>0.0</v>
      </c>
      <c r="E102" s="20">
        <v>0.0</v>
      </c>
      <c r="F102" s="20">
        <v>0.0</v>
      </c>
      <c r="G102" s="20">
        <v>0.0</v>
      </c>
      <c r="H102" s="20">
        <v>0.0</v>
      </c>
      <c r="I102" s="20">
        <v>0.0</v>
      </c>
      <c r="J102" s="20">
        <v>0.0</v>
      </c>
      <c r="K102" s="20">
        <v>0.0</v>
      </c>
      <c r="L102" s="20">
        <v>0.0</v>
      </c>
      <c r="M102" s="20">
        <v>0.0</v>
      </c>
      <c r="N102" s="20">
        <v>0.0</v>
      </c>
      <c r="O102" s="20">
        <v>0.0</v>
      </c>
      <c r="P102" s="20">
        <v>0.0</v>
      </c>
      <c r="Q102" s="20">
        <v>0.0</v>
      </c>
      <c r="R102" s="20">
        <v>0.0</v>
      </c>
      <c r="S102" s="20">
        <v>0.0</v>
      </c>
      <c r="T102" s="20">
        <v>0.0</v>
      </c>
      <c r="U102" s="20">
        <v>0.0</v>
      </c>
      <c r="V102" s="20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20">
        <v>0.0</v>
      </c>
      <c r="AE102" s="20">
        <v>0.0</v>
      </c>
      <c r="AF102" s="20">
        <v>0.0</v>
      </c>
      <c r="AG102" s="20">
        <v>0.0</v>
      </c>
      <c r="AH102" s="19">
        <f t="shared" ref="AH102:AH103" si="27">SUM(C102:AG102)</f>
        <v>0</v>
      </c>
    </row>
    <row r="103">
      <c r="A103" s="16" t="s">
        <v>96</v>
      </c>
      <c r="B103" s="27">
        <f t="shared" si="26"/>
        <v>0.1233402276</v>
      </c>
      <c r="C103" s="20">
        <v>0.0</v>
      </c>
      <c r="D103" s="20">
        <v>0.0</v>
      </c>
      <c r="E103" s="20">
        <v>0.0</v>
      </c>
      <c r="F103" s="20">
        <v>0.0</v>
      </c>
      <c r="G103" s="20">
        <v>0.0</v>
      </c>
      <c r="H103" s="20">
        <v>0.0</v>
      </c>
      <c r="I103" s="20">
        <v>0.0</v>
      </c>
      <c r="J103" s="20">
        <v>0.0</v>
      </c>
      <c r="K103" s="20">
        <v>0.0</v>
      </c>
      <c r="L103" s="20">
        <v>0.0</v>
      </c>
      <c r="M103" s="20">
        <v>0.0</v>
      </c>
      <c r="N103" s="20">
        <v>0.0</v>
      </c>
      <c r="O103" s="20">
        <v>0.0</v>
      </c>
      <c r="P103" s="20">
        <v>0.0</v>
      </c>
      <c r="Q103" s="20">
        <v>0.0</v>
      </c>
      <c r="R103" s="20">
        <v>0.0</v>
      </c>
      <c r="S103" s="20">
        <v>0.0</v>
      </c>
      <c r="T103" s="17">
        <v>0.0</v>
      </c>
      <c r="U103" s="17">
        <v>4444451.0</v>
      </c>
      <c r="V103" s="17">
        <v>0.0</v>
      </c>
      <c r="W103" s="20">
        <v>0.0</v>
      </c>
      <c r="X103" s="20">
        <v>0.0</v>
      </c>
      <c r="Y103" s="20">
        <v>0.0</v>
      </c>
      <c r="Z103" s="20">
        <v>0.0</v>
      </c>
      <c r="AA103" s="17">
        <v>211575.0</v>
      </c>
      <c r="AB103" s="20">
        <v>0.0</v>
      </c>
      <c r="AC103" s="20">
        <v>0.0</v>
      </c>
      <c r="AD103" s="20">
        <v>0.0</v>
      </c>
      <c r="AE103" s="20">
        <v>0.0</v>
      </c>
      <c r="AF103" s="20">
        <v>0.0</v>
      </c>
      <c r="AG103" s="20">
        <v>0.0</v>
      </c>
      <c r="AH103" s="19">
        <f t="shared" si="27"/>
        <v>4656026</v>
      </c>
    </row>
    <row r="104">
      <c r="A104" s="7"/>
      <c r="B104" s="8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7"/>
      <c r="AH104" s="7"/>
    </row>
    <row r="105">
      <c r="A105" s="55" t="s">
        <v>97</v>
      </c>
      <c r="B105" s="56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8"/>
      <c r="AH105" s="38">
        <f>AH106+AH107</f>
        <v>0</v>
      </c>
    </row>
    <row r="106">
      <c r="A106" s="16" t="s">
        <v>98</v>
      </c>
      <c r="B106" s="8"/>
      <c r="C106" s="20">
        <v>0.0</v>
      </c>
      <c r="D106" s="20">
        <v>0.0</v>
      </c>
      <c r="E106" s="20">
        <v>0.0</v>
      </c>
      <c r="F106" s="20">
        <v>0.0</v>
      </c>
      <c r="G106" s="20">
        <v>0.0</v>
      </c>
      <c r="H106" s="20">
        <v>0.0</v>
      </c>
      <c r="I106" s="20">
        <v>0.0</v>
      </c>
      <c r="J106" s="20">
        <v>0.0</v>
      </c>
      <c r="K106" s="20">
        <v>0.0</v>
      </c>
      <c r="L106" s="20">
        <v>0.0</v>
      </c>
      <c r="M106" s="20">
        <v>0.0</v>
      </c>
      <c r="N106" s="20">
        <v>0.0</v>
      </c>
      <c r="O106" s="20">
        <v>0.0</v>
      </c>
      <c r="P106" s="20">
        <v>0.0</v>
      </c>
      <c r="Q106" s="20">
        <v>0.0</v>
      </c>
      <c r="R106" s="20">
        <v>0.0</v>
      </c>
      <c r="S106" s="20">
        <v>0.0</v>
      </c>
      <c r="T106" s="20">
        <v>0.0</v>
      </c>
      <c r="U106" s="20">
        <v>0.0</v>
      </c>
      <c r="V106" s="20">
        <v>0.0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17">
        <v>0.0</v>
      </c>
      <c r="AC106" s="20">
        <v>0.0</v>
      </c>
      <c r="AD106" s="20">
        <v>0.0</v>
      </c>
      <c r="AE106" s="17">
        <v>0.0</v>
      </c>
      <c r="AF106" s="20">
        <v>0.0</v>
      </c>
      <c r="AG106" s="20">
        <v>0.0</v>
      </c>
      <c r="AH106" s="59">
        <f t="shared" ref="AH106:AH107" si="28">sum(C106:AG106)</f>
        <v>0</v>
      </c>
    </row>
    <row r="107">
      <c r="A107" s="7"/>
      <c r="B107" s="8"/>
      <c r="C107" s="20">
        <v>0.0</v>
      </c>
      <c r="D107" s="20">
        <v>0.0</v>
      </c>
      <c r="E107" s="20">
        <v>0.0</v>
      </c>
      <c r="F107" s="20">
        <v>0.0</v>
      </c>
      <c r="G107" s="20">
        <v>0.0</v>
      </c>
      <c r="H107" s="20">
        <v>0.0</v>
      </c>
      <c r="I107" s="20">
        <v>0.0</v>
      </c>
      <c r="J107" s="20">
        <v>0.0</v>
      </c>
      <c r="K107" s="20">
        <v>0.0</v>
      </c>
      <c r="L107" s="20">
        <v>0.0</v>
      </c>
      <c r="M107" s="20">
        <v>0.0</v>
      </c>
      <c r="N107" s="20">
        <v>0.0</v>
      </c>
      <c r="O107" s="20">
        <v>0.0</v>
      </c>
      <c r="P107" s="20">
        <v>0.0</v>
      </c>
      <c r="Q107" s="20">
        <v>0.0</v>
      </c>
      <c r="R107" s="20">
        <v>0.0</v>
      </c>
      <c r="S107" s="20">
        <v>0.0</v>
      </c>
      <c r="T107" s="20">
        <v>0.0</v>
      </c>
      <c r="U107" s="20">
        <v>0.0</v>
      </c>
      <c r="V107" s="20">
        <v>0.0</v>
      </c>
      <c r="W107" s="20">
        <v>0.0</v>
      </c>
      <c r="X107" s="20">
        <v>0.0</v>
      </c>
      <c r="Y107" s="20">
        <v>0.0</v>
      </c>
      <c r="Z107" s="20">
        <v>0.0</v>
      </c>
      <c r="AA107" s="20">
        <v>0.0</v>
      </c>
      <c r="AB107" s="20">
        <v>0.0</v>
      </c>
      <c r="AC107" s="20">
        <v>0.0</v>
      </c>
      <c r="AD107" s="20">
        <v>0.0</v>
      </c>
      <c r="AE107" s="20">
        <v>0.0</v>
      </c>
      <c r="AF107" s="20">
        <v>0.0</v>
      </c>
      <c r="AG107" s="20">
        <v>0.0</v>
      </c>
      <c r="AH107" s="59">
        <f t="shared" si="28"/>
        <v>0</v>
      </c>
    </row>
    <row r="108">
      <c r="A108" s="7"/>
      <c r="B108" s="8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7"/>
      <c r="AH108" s="7"/>
    </row>
    <row r="109">
      <c r="A109" s="60" t="s">
        <v>99</v>
      </c>
      <c r="B109" s="61"/>
      <c r="C109" s="62">
        <f t="shared" ref="C109:AG109" si="29">C101+C90+C84+C34+C78+C12+C106+C107</f>
        <v>1347008</v>
      </c>
      <c r="D109" s="62">
        <f t="shared" si="29"/>
        <v>4240542</v>
      </c>
      <c r="E109" s="62">
        <f t="shared" si="29"/>
        <v>158245</v>
      </c>
      <c r="F109" s="62">
        <f t="shared" si="29"/>
        <v>561664</v>
      </c>
      <c r="G109" s="62">
        <f t="shared" si="29"/>
        <v>1982820</v>
      </c>
      <c r="H109" s="62">
        <f t="shared" si="29"/>
        <v>228720</v>
      </c>
      <c r="I109" s="62">
        <f t="shared" si="29"/>
        <v>250000</v>
      </c>
      <c r="J109" s="62">
        <f t="shared" si="29"/>
        <v>329041</v>
      </c>
      <c r="K109" s="62">
        <f t="shared" si="29"/>
        <v>3167285</v>
      </c>
      <c r="L109" s="62">
        <f t="shared" si="29"/>
        <v>1001590</v>
      </c>
      <c r="M109" s="62">
        <f t="shared" si="29"/>
        <v>3448850</v>
      </c>
      <c r="N109" s="62">
        <f t="shared" si="29"/>
        <v>1202872</v>
      </c>
      <c r="O109" s="62">
        <f t="shared" si="29"/>
        <v>0</v>
      </c>
      <c r="P109" s="62">
        <f t="shared" si="29"/>
        <v>0</v>
      </c>
      <c r="Q109" s="62">
        <f t="shared" si="29"/>
        <v>1837382</v>
      </c>
      <c r="R109" s="62">
        <f t="shared" si="29"/>
        <v>1033145</v>
      </c>
      <c r="S109" s="62">
        <f t="shared" si="29"/>
        <v>923890</v>
      </c>
      <c r="T109" s="62">
        <f t="shared" si="29"/>
        <v>663375</v>
      </c>
      <c r="U109" s="62">
        <f t="shared" si="29"/>
        <v>5872397</v>
      </c>
      <c r="V109" s="62">
        <f t="shared" si="29"/>
        <v>50000</v>
      </c>
      <c r="W109" s="62">
        <f t="shared" si="29"/>
        <v>250000</v>
      </c>
      <c r="X109" s="62">
        <f t="shared" si="29"/>
        <v>1112524</v>
      </c>
      <c r="Y109" s="62">
        <f t="shared" si="29"/>
        <v>1039053</v>
      </c>
      <c r="Z109" s="62">
        <f t="shared" si="29"/>
        <v>1167843</v>
      </c>
      <c r="AA109" s="62">
        <f t="shared" si="29"/>
        <v>807873</v>
      </c>
      <c r="AB109" s="62">
        <f t="shared" si="29"/>
        <v>1178256</v>
      </c>
      <c r="AC109" s="62">
        <f t="shared" si="29"/>
        <v>790949</v>
      </c>
      <c r="AD109" s="62">
        <f t="shared" si="29"/>
        <v>100000</v>
      </c>
      <c r="AE109" s="62">
        <f t="shared" si="29"/>
        <v>740696</v>
      </c>
      <c r="AF109" s="62">
        <f t="shared" si="29"/>
        <v>7567673</v>
      </c>
      <c r="AG109" s="62">
        <f t="shared" si="29"/>
        <v>0</v>
      </c>
      <c r="AH109" s="63">
        <f>sum(C109:AF109)</f>
        <v>43053693</v>
      </c>
    </row>
    <row r="110">
      <c r="A110" s="64" t="s">
        <v>100</v>
      </c>
      <c r="B110" s="65"/>
      <c r="C110" s="63">
        <f t="shared" ref="C110:AG110" si="30">C101+C90+C34+C78+C12</f>
        <v>887001</v>
      </c>
      <c r="D110" s="63">
        <f t="shared" si="30"/>
        <v>4240542</v>
      </c>
      <c r="E110" s="63">
        <f t="shared" si="30"/>
        <v>158245</v>
      </c>
      <c r="F110" s="63">
        <f t="shared" si="30"/>
        <v>561664</v>
      </c>
      <c r="G110" s="63">
        <f t="shared" si="30"/>
        <v>1392030</v>
      </c>
      <c r="H110" s="63">
        <f t="shared" si="30"/>
        <v>228720</v>
      </c>
      <c r="I110" s="63">
        <f t="shared" si="30"/>
        <v>250000</v>
      </c>
      <c r="J110" s="63">
        <f t="shared" si="30"/>
        <v>329041</v>
      </c>
      <c r="K110" s="63">
        <f t="shared" si="30"/>
        <v>2756006</v>
      </c>
      <c r="L110" s="63">
        <f t="shared" si="30"/>
        <v>1001590</v>
      </c>
      <c r="M110" s="63">
        <f t="shared" si="30"/>
        <v>3448850</v>
      </c>
      <c r="N110" s="63">
        <f t="shared" si="30"/>
        <v>655781</v>
      </c>
      <c r="O110" s="63">
        <f t="shared" si="30"/>
        <v>0</v>
      </c>
      <c r="P110" s="63">
        <f t="shared" si="30"/>
        <v>0</v>
      </c>
      <c r="Q110" s="63">
        <f t="shared" si="30"/>
        <v>1409000</v>
      </c>
      <c r="R110" s="63">
        <f t="shared" si="30"/>
        <v>1033145</v>
      </c>
      <c r="S110" s="63">
        <f t="shared" si="30"/>
        <v>923890</v>
      </c>
      <c r="T110" s="63">
        <f t="shared" si="30"/>
        <v>663375</v>
      </c>
      <c r="U110" s="63">
        <f t="shared" si="30"/>
        <v>5335075</v>
      </c>
      <c r="V110" s="63">
        <f t="shared" si="30"/>
        <v>50000</v>
      </c>
      <c r="W110" s="63">
        <f t="shared" si="30"/>
        <v>250000</v>
      </c>
      <c r="X110" s="63">
        <f t="shared" si="30"/>
        <v>692675</v>
      </c>
      <c r="Y110" s="63">
        <f t="shared" si="30"/>
        <v>1039053</v>
      </c>
      <c r="Z110" s="63">
        <f t="shared" si="30"/>
        <v>1167843</v>
      </c>
      <c r="AA110" s="63">
        <f t="shared" si="30"/>
        <v>807873</v>
      </c>
      <c r="AB110" s="63">
        <f t="shared" si="30"/>
        <v>313684</v>
      </c>
      <c r="AC110" s="63">
        <f t="shared" si="30"/>
        <v>790949</v>
      </c>
      <c r="AD110" s="63">
        <f t="shared" si="30"/>
        <v>100000</v>
      </c>
      <c r="AE110" s="63">
        <f t="shared" si="30"/>
        <v>283640</v>
      </c>
      <c r="AF110" s="63">
        <f t="shared" si="30"/>
        <v>7567673</v>
      </c>
      <c r="AG110" s="63">
        <f t="shared" si="30"/>
        <v>0</v>
      </c>
      <c r="AH110" s="63">
        <f>sum(C110:AG110)</f>
        <v>38337345</v>
      </c>
    </row>
    <row r="111">
      <c r="A111" s="7"/>
      <c r="B111" s="8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7"/>
      <c r="AH111" s="7"/>
    </row>
    <row r="112">
      <c r="A112" s="21" t="s">
        <v>101</v>
      </c>
      <c r="B112" s="27">
        <f>AH112/$AH$10</f>
        <v>-0.01557355058</v>
      </c>
      <c r="C112" s="22">
        <f t="shared" ref="C112:AG112" si="31">C9-C110</f>
        <v>936297</v>
      </c>
      <c r="D112" s="22">
        <f t="shared" si="31"/>
        <v>-3292017</v>
      </c>
      <c r="E112" s="22">
        <f t="shared" si="31"/>
        <v>1098917</v>
      </c>
      <c r="F112" s="22">
        <f t="shared" si="31"/>
        <v>507480</v>
      </c>
      <c r="G112" s="22">
        <f t="shared" si="31"/>
        <v>374260</v>
      </c>
      <c r="H112" s="22">
        <f t="shared" si="31"/>
        <v>964809</v>
      </c>
      <c r="I112" s="22">
        <f t="shared" si="31"/>
        <v>1437770</v>
      </c>
      <c r="J112" s="22">
        <f t="shared" si="31"/>
        <v>602850</v>
      </c>
      <c r="K112" s="22">
        <f t="shared" si="31"/>
        <v>-1638301</v>
      </c>
      <c r="L112" s="22">
        <f t="shared" si="31"/>
        <v>4474</v>
      </c>
      <c r="M112" s="22">
        <f t="shared" si="31"/>
        <v>-2279407</v>
      </c>
      <c r="N112" s="22">
        <f t="shared" si="31"/>
        <v>268636</v>
      </c>
      <c r="O112" s="22">
        <f t="shared" si="31"/>
        <v>1729420</v>
      </c>
      <c r="P112" s="22">
        <f t="shared" si="31"/>
        <v>2388878</v>
      </c>
      <c r="Q112" s="22">
        <f t="shared" si="31"/>
        <v>-403497</v>
      </c>
      <c r="R112" s="22">
        <f t="shared" si="31"/>
        <v>-97702</v>
      </c>
      <c r="S112" s="22">
        <f t="shared" si="31"/>
        <v>359030</v>
      </c>
      <c r="T112" s="22">
        <f t="shared" si="31"/>
        <v>465745</v>
      </c>
      <c r="U112" s="22">
        <f t="shared" si="31"/>
        <v>-2315310</v>
      </c>
      <c r="V112" s="22">
        <f t="shared" si="31"/>
        <v>1847768</v>
      </c>
      <c r="W112" s="22">
        <f t="shared" si="31"/>
        <v>1642653</v>
      </c>
      <c r="X112" s="22">
        <f t="shared" si="31"/>
        <v>499694</v>
      </c>
      <c r="Y112" s="22">
        <f t="shared" si="31"/>
        <v>-170034</v>
      </c>
      <c r="Z112" s="22">
        <f t="shared" si="31"/>
        <v>51722</v>
      </c>
      <c r="AA112" s="22">
        <f t="shared" si="31"/>
        <v>43753</v>
      </c>
      <c r="AB112" s="22">
        <f t="shared" si="31"/>
        <v>919018</v>
      </c>
      <c r="AC112" s="22">
        <f t="shared" si="31"/>
        <v>831345</v>
      </c>
      <c r="AD112" s="22">
        <f t="shared" si="31"/>
        <v>2145178</v>
      </c>
      <c r="AE112" s="22">
        <f t="shared" si="31"/>
        <v>1255059</v>
      </c>
      <c r="AF112" s="22">
        <f t="shared" si="31"/>
        <v>-6050033</v>
      </c>
      <c r="AG112" s="22">
        <f t="shared" si="31"/>
        <v>0</v>
      </c>
      <c r="AH112" s="19">
        <f>AH10-AH110</f>
        <v>-587893</v>
      </c>
    </row>
    <row r="113">
      <c r="A113" s="7"/>
      <c r="B113" s="8"/>
      <c r="C113" s="66"/>
      <c r="D113" s="66"/>
      <c r="E113" s="66"/>
      <c r="F113" s="66"/>
      <c r="G113" s="66"/>
      <c r="H113" s="6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7"/>
      <c r="B1002" s="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7"/>
      <c r="B1003" s="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7"/>
      <c r="B1004" s="8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7"/>
      <c r="B1005" s="8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7"/>
      <c r="B1006" s="8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7"/>
      <c r="B1007" s="8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7"/>
      <c r="B1008" s="8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7"/>
      <c r="B1009" s="8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7"/>
      <c r="B1010" s="8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7"/>
      <c r="B1011" s="8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7"/>
      <c r="B1012" s="8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7"/>
      <c r="B1013" s="8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7"/>
      <c r="B1014" s="8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7"/>
      <c r="B1015" s="8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7"/>
      <c r="B1016" s="8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>
      <c r="A1017" s="7"/>
      <c r="B1017" s="8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>
      <c r="A1018" s="7"/>
      <c r="B1018" s="8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>
      <c r="A1019" s="7"/>
      <c r="B1019" s="8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>
      <c r="A1020" s="7"/>
      <c r="B1020" s="8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>
      <c r="A1021" s="7"/>
      <c r="B1021" s="8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>
      <c r="A1022" s="7"/>
      <c r="B1022" s="8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>
      <c r="A1023" s="7"/>
      <c r="B1023" s="8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>
      <c r="A1024" s="7"/>
      <c r="B1024" s="8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>
      <c r="A1025" s="7"/>
      <c r="B1025" s="8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>
      <c r="A1026" s="7"/>
      <c r="B1026" s="8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>
      <c r="A1027" s="7"/>
      <c r="B1027" s="8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>
      <c r="A1028" s="7"/>
      <c r="B1028" s="8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>
      <c r="A1029" s="7"/>
      <c r="B1029" s="8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>
      <c r="A1030" s="7"/>
      <c r="B1030" s="8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>
      <c r="A1031" s="7"/>
      <c r="B1031" s="8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>
      <c r="A1032" s="7"/>
      <c r="B1032" s="8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>
      <c r="A1033" s="7"/>
      <c r="B1033" s="8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>
      <c r="A1034" s="7"/>
      <c r="B1034" s="8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>
      <c r="A1035" s="7"/>
      <c r="B1035" s="8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>
      <c r="A1036" s="7"/>
      <c r="B1036" s="8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>
      <c r="A1037" s="7"/>
      <c r="B1037" s="8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>
      <c r="A1038" s="7"/>
      <c r="B1038" s="8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>
      <c r="A1039" s="7"/>
      <c r="B1039" s="8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>
      <c r="A1040" s="7"/>
      <c r="B1040" s="8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>
      <c r="A1041" s="7"/>
      <c r="B1041" s="8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>
      <c r="A1042" s="7"/>
      <c r="B1042" s="8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>
      <c r="A1043" s="7"/>
      <c r="B1043" s="8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>
      <c r="A1044" s="7"/>
      <c r="B1044" s="8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>
      <c r="A1045" s="7"/>
      <c r="B1045" s="8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>
      <c r="A1046" s="7"/>
      <c r="B1046" s="8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>
      <c r="A1047" s="7"/>
      <c r="B1047" s="8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>
      <c r="A1048" s="7"/>
      <c r="B1048" s="8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>
      <c r="A1049" s="7"/>
      <c r="B1049" s="8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</row>
    <row r="1050">
      <c r="A1050" s="7"/>
      <c r="B1050" s="8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  <row r="1051">
      <c r="A1051" s="7"/>
      <c r="B1051" s="8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</row>
    <row r="1052">
      <c r="A1052" s="7"/>
      <c r="B1052" s="8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63"/>
  </cols>
  <sheetData>
    <row r="1">
      <c r="A1" s="1"/>
      <c r="B1" s="3"/>
      <c r="C1" s="4">
        <v>46204.0</v>
      </c>
      <c r="D1" s="4">
        <v>46205.0</v>
      </c>
      <c r="E1" s="4">
        <v>46206.0</v>
      </c>
      <c r="F1" s="4">
        <v>46207.0</v>
      </c>
      <c r="G1" s="4">
        <v>46208.0</v>
      </c>
      <c r="H1" s="4">
        <v>46209.0</v>
      </c>
      <c r="I1" s="4">
        <v>46210.0</v>
      </c>
      <c r="J1" s="4">
        <v>46211.0</v>
      </c>
      <c r="K1" s="4">
        <v>46212.0</v>
      </c>
      <c r="L1" s="4">
        <v>46213.0</v>
      </c>
      <c r="M1" s="4">
        <v>46214.0</v>
      </c>
      <c r="N1" s="4">
        <v>46215.0</v>
      </c>
      <c r="O1" s="4">
        <v>46216.0</v>
      </c>
      <c r="P1" s="4">
        <v>46217.0</v>
      </c>
      <c r="Q1" s="4">
        <v>46218.0</v>
      </c>
      <c r="R1" s="4">
        <v>46219.0</v>
      </c>
      <c r="S1" s="4">
        <v>46220.0</v>
      </c>
      <c r="T1" s="4">
        <v>46221.0</v>
      </c>
      <c r="U1" s="4">
        <v>46222.0</v>
      </c>
      <c r="V1" s="4">
        <v>46223.0</v>
      </c>
      <c r="W1" s="4">
        <v>46224.0</v>
      </c>
      <c r="X1" s="4">
        <v>46225.0</v>
      </c>
      <c r="Y1" s="4">
        <v>46226.0</v>
      </c>
      <c r="Z1" s="4">
        <v>46227.0</v>
      </c>
      <c r="AA1" s="4">
        <v>46228.0</v>
      </c>
      <c r="AB1" s="4">
        <v>46229.0</v>
      </c>
      <c r="AC1" s="4">
        <v>46230.0</v>
      </c>
      <c r="AD1" s="4">
        <v>46231.0</v>
      </c>
      <c r="AE1" s="4">
        <v>46232.0</v>
      </c>
      <c r="AF1" s="4">
        <v>46233.0</v>
      </c>
      <c r="AG1" s="4">
        <v>46234.0</v>
      </c>
      <c r="AH1" s="6" t="s">
        <v>1</v>
      </c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7"/>
      <c r="AH2" s="7"/>
    </row>
    <row r="3">
      <c r="A3" s="7"/>
      <c r="B3" s="8"/>
      <c r="C3" s="10"/>
      <c r="D3" s="10"/>
      <c r="E3" s="10"/>
      <c r="F3" s="10"/>
      <c r="G3" s="10"/>
      <c r="H3" s="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11" t="s">
        <v>2</v>
      </c>
      <c r="B4" s="12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16" t="s">
        <v>3</v>
      </c>
      <c r="B5" s="8"/>
      <c r="C5" s="17">
        <f>593262+495464+69744+19616</f>
        <v>1178086</v>
      </c>
      <c r="D5" s="17">
        <f>20587+118774+448619+510544+101589</f>
        <v>1200113</v>
      </c>
      <c r="E5" s="17">
        <f>415115+694200+70723+131429</f>
        <v>1311467</v>
      </c>
      <c r="F5" s="17">
        <f>1017963+366994+101536+38281</f>
        <v>1524774</v>
      </c>
      <c r="G5" s="17">
        <f>74095+51316+1081425+574740</f>
        <v>1781576</v>
      </c>
      <c r="H5" s="17">
        <f>63574+668386+215129</f>
        <v>947089</v>
      </c>
      <c r="I5" s="17">
        <f>233815+22320</f>
        <v>256135</v>
      </c>
      <c r="J5" s="17">
        <f>722553+675763+57893</f>
        <v>1456209</v>
      </c>
      <c r="K5" s="17">
        <f>31688+368563+346209+52811+20587</f>
        <v>819858</v>
      </c>
      <c r="L5" s="17">
        <f>11021+410588+569148+7377</f>
        <v>998134</v>
      </c>
      <c r="M5" s="17">
        <f>628400+698820+58689</f>
        <v>1385909</v>
      </c>
      <c r="N5" s="17">
        <f>104924+69551+1630086+623138</f>
        <v>2427699</v>
      </c>
      <c r="O5" s="17">
        <f>1004582+349647+230723</f>
        <v>1584952</v>
      </c>
      <c r="P5" s="17">
        <f>297677+107216</f>
        <v>404893</v>
      </c>
      <c r="Q5" s="17">
        <f>485772+62376+581495+46235+19730</f>
        <v>1195608</v>
      </c>
      <c r="R5" s="17">
        <f>80212+29598+463862+750487</f>
        <v>1324159</v>
      </c>
      <c r="S5" s="17">
        <f>485124+548675+40086+60383</f>
        <v>1134268</v>
      </c>
      <c r="T5" s="17">
        <f>143804+29893+323438+296779</f>
        <v>793914</v>
      </c>
      <c r="U5" s="17">
        <f>35074+151457+776566</f>
        <v>963097</v>
      </c>
      <c r="V5" s="17">
        <f>170987+569868+85494</f>
        <v>826349</v>
      </c>
      <c r="W5" s="17">
        <f>154645+132263</f>
        <v>286908</v>
      </c>
      <c r="X5" s="17">
        <f>25807+246044+584885</f>
        <v>856736</v>
      </c>
      <c r="Y5" s="17">
        <f>22620+12287+59587+26748+496020+488988</f>
        <v>1106250</v>
      </c>
      <c r="Z5" s="17">
        <f>40238+15843+104774+437120+171666</f>
        <v>769641</v>
      </c>
      <c r="AA5" s="17">
        <f>173331+692966+707226</f>
        <v>1573523</v>
      </c>
      <c r="AB5" s="17">
        <f>590583+150465+892423+28299</f>
        <v>1661770</v>
      </c>
      <c r="AC5" s="17">
        <f>852496+56298+135813</f>
        <v>1044607</v>
      </c>
      <c r="AD5" s="17">
        <f>185494+24512+52602</f>
        <v>262608</v>
      </c>
      <c r="AE5" s="17">
        <f>43185+32583+652938+459825+12854</f>
        <v>1201385</v>
      </c>
      <c r="AF5" s="17">
        <f>133382+29934+525320+423686</f>
        <v>1112322</v>
      </c>
      <c r="AG5" s="17">
        <f>121321+458730+883477+99187</f>
        <v>1562715</v>
      </c>
      <c r="AH5" s="19">
        <f t="shared" ref="AH5:AH8" si="1">SUM(C5:AG5)</f>
        <v>34952754</v>
      </c>
    </row>
    <row r="6">
      <c r="A6" s="16" t="s">
        <v>4</v>
      </c>
      <c r="B6" s="8"/>
      <c r="C6" s="17">
        <v>0.0</v>
      </c>
      <c r="D6" s="17">
        <v>28700.0</v>
      </c>
      <c r="E6" s="17">
        <v>0.0</v>
      </c>
      <c r="F6" s="17">
        <v>0.0</v>
      </c>
      <c r="G6" s="17">
        <v>0.0</v>
      </c>
      <c r="H6" s="17">
        <v>0.0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7">
        <v>25900.0</v>
      </c>
      <c r="O6" s="17">
        <v>0.0</v>
      </c>
      <c r="P6" s="17">
        <v>0.0</v>
      </c>
      <c r="Q6" s="17">
        <v>25900.0</v>
      </c>
      <c r="R6" s="17">
        <v>0.0</v>
      </c>
      <c r="S6" s="17">
        <v>0.0</v>
      </c>
      <c r="T6" s="17">
        <v>25900.0</v>
      </c>
      <c r="U6" s="17">
        <v>48600.0</v>
      </c>
      <c r="V6" s="17">
        <v>0.0</v>
      </c>
      <c r="W6" s="17">
        <v>0.0</v>
      </c>
      <c r="X6" s="17">
        <v>0.0</v>
      </c>
      <c r="Y6" s="17">
        <v>0.0</v>
      </c>
      <c r="Z6" s="17">
        <v>0.0</v>
      </c>
      <c r="AA6" s="17">
        <v>0.0</v>
      </c>
      <c r="AB6" s="17">
        <v>0.0</v>
      </c>
      <c r="AC6" s="17">
        <v>0.0</v>
      </c>
      <c r="AD6" s="17">
        <v>0.0</v>
      </c>
      <c r="AE6" s="17">
        <v>0.0</v>
      </c>
      <c r="AF6" s="17">
        <v>0.0</v>
      </c>
      <c r="AG6" s="17">
        <v>0.0</v>
      </c>
      <c r="AH6" s="19">
        <f t="shared" si="1"/>
        <v>155000</v>
      </c>
    </row>
    <row r="7">
      <c r="A7" s="16" t="s">
        <v>5</v>
      </c>
      <c r="B7" s="8"/>
      <c r="C7" s="17">
        <v>0.0</v>
      </c>
      <c r="D7" s="17">
        <v>0.0</v>
      </c>
      <c r="E7" s="17">
        <v>0.0</v>
      </c>
      <c r="F7" s="17">
        <v>0.0</v>
      </c>
      <c r="G7" s="17">
        <v>0.0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17">
        <v>0.0</v>
      </c>
      <c r="Z7" s="17">
        <v>0.0</v>
      </c>
      <c r="AA7" s="17">
        <v>0.0</v>
      </c>
      <c r="AB7" s="17">
        <v>0.0</v>
      </c>
      <c r="AC7" s="17">
        <v>0.0</v>
      </c>
      <c r="AD7" s="17">
        <v>0.0</v>
      </c>
      <c r="AE7" s="17">
        <v>0.0</v>
      </c>
      <c r="AF7" s="17">
        <v>0.0</v>
      </c>
      <c r="AG7" s="17">
        <v>0.0</v>
      </c>
      <c r="AH7" s="19">
        <f t="shared" si="1"/>
        <v>0</v>
      </c>
    </row>
    <row r="8">
      <c r="A8" s="16" t="s">
        <v>6</v>
      </c>
      <c r="B8" s="8"/>
      <c r="C8" s="17">
        <v>0.0</v>
      </c>
      <c r="D8" s="17">
        <v>0.0</v>
      </c>
      <c r="E8" s="17">
        <v>0.0</v>
      </c>
      <c r="F8" s="17">
        <v>0.0</v>
      </c>
      <c r="G8" s="17">
        <v>0.0</v>
      </c>
      <c r="H8" s="17">
        <v>0.0</v>
      </c>
      <c r="I8" s="17">
        <f>449139+164219</f>
        <v>613358</v>
      </c>
      <c r="J8" s="17">
        <v>0.0</v>
      </c>
      <c r="K8" s="17">
        <v>0.0</v>
      </c>
      <c r="L8" s="17">
        <v>0.0</v>
      </c>
      <c r="M8" s="17">
        <v>0.0</v>
      </c>
      <c r="N8" s="17">
        <v>0.0</v>
      </c>
      <c r="O8" s="17">
        <v>0.0</v>
      </c>
      <c r="P8" s="17">
        <v>0.0</v>
      </c>
      <c r="Q8" s="17">
        <f>530360+294641</f>
        <v>825001</v>
      </c>
      <c r="R8" s="17">
        <v>0.0</v>
      </c>
      <c r="S8" s="17">
        <v>0.0</v>
      </c>
      <c r="T8" s="17">
        <v>0.0</v>
      </c>
      <c r="U8" s="17">
        <v>0.0</v>
      </c>
      <c r="V8" s="17">
        <v>0.0</v>
      </c>
      <c r="W8" s="17">
        <f>451043+149526</f>
        <v>600569</v>
      </c>
      <c r="X8" s="17">
        <v>0.0</v>
      </c>
      <c r="Y8" s="17">
        <v>0.0</v>
      </c>
      <c r="Z8" s="17">
        <v>0.0</v>
      </c>
      <c r="AA8" s="17">
        <v>0.0</v>
      </c>
      <c r="AB8" s="17">
        <v>0.0</v>
      </c>
      <c r="AC8" s="17">
        <v>0.0</v>
      </c>
      <c r="AD8" s="17">
        <f>615703+260499</f>
        <v>876202</v>
      </c>
      <c r="AE8" s="17">
        <v>0.0</v>
      </c>
      <c r="AF8" s="17">
        <v>0.0</v>
      </c>
      <c r="AG8" s="17">
        <v>0.0</v>
      </c>
      <c r="AH8" s="19">
        <f t="shared" si="1"/>
        <v>2915130</v>
      </c>
    </row>
    <row r="9">
      <c r="A9" s="21" t="s">
        <v>7</v>
      </c>
      <c r="B9" s="8"/>
      <c r="C9" s="22">
        <f t="shared" ref="C9:AH9" si="2">SUM(C5:C8)</f>
        <v>1178086</v>
      </c>
      <c r="D9" s="22">
        <f t="shared" si="2"/>
        <v>1228813</v>
      </c>
      <c r="E9" s="22">
        <f t="shared" si="2"/>
        <v>1311467</v>
      </c>
      <c r="F9" s="22">
        <f t="shared" si="2"/>
        <v>1524774</v>
      </c>
      <c r="G9" s="22">
        <f t="shared" si="2"/>
        <v>1781576</v>
      </c>
      <c r="H9" s="22">
        <f t="shared" si="2"/>
        <v>947089</v>
      </c>
      <c r="I9" s="22">
        <f t="shared" si="2"/>
        <v>869493</v>
      </c>
      <c r="J9" s="22">
        <f t="shared" si="2"/>
        <v>1456209</v>
      </c>
      <c r="K9" s="22">
        <f t="shared" si="2"/>
        <v>819858</v>
      </c>
      <c r="L9" s="22">
        <f t="shared" si="2"/>
        <v>998134</v>
      </c>
      <c r="M9" s="22">
        <f t="shared" si="2"/>
        <v>1385909</v>
      </c>
      <c r="N9" s="22">
        <f t="shared" si="2"/>
        <v>2453599</v>
      </c>
      <c r="O9" s="22">
        <f t="shared" si="2"/>
        <v>1584952</v>
      </c>
      <c r="P9" s="22">
        <f t="shared" si="2"/>
        <v>404893</v>
      </c>
      <c r="Q9" s="22">
        <f t="shared" si="2"/>
        <v>2046509</v>
      </c>
      <c r="R9" s="22">
        <f t="shared" si="2"/>
        <v>1324159</v>
      </c>
      <c r="S9" s="22">
        <f t="shared" si="2"/>
        <v>1134268</v>
      </c>
      <c r="T9" s="22">
        <f t="shared" si="2"/>
        <v>819814</v>
      </c>
      <c r="U9" s="22">
        <f t="shared" si="2"/>
        <v>1011697</v>
      </c>
      <c r="V9" s="22">
        <f t="shared" si="2"/>
        <v>826349</v>
      </c>
      <c r="W9" s="22">
        <f t="shared" si="2"/>
        <v>887477</v>
      </c>
      <c r="X9" s="22">
        <f t="shared" si="2"/>
        <v>856736</v>
      </c>
      <c r="Y9" s="22">
        <f t="shared" si="2"/>
        <v>1106250</v>
      </c>
      <c r="Z9" s="22">
        <f t="shared" si="2"/>
        <v>769641</v>
      </c>
      <c r="AA9" s="22">
        <f t="shared" si="2"/>
        <v>1573523</v>
      </c>
      <c r="AB9" s="22">
        <f t="shared" si="2"/>
        <v>1661770</v>
      </c>
      <c r="AC9" s="22">
        <f t="shared" si="2"/>
        <v>1044607</v>
      </c>
      <c r="AD9" s="22">
        <f t="shared" si="2"/>
        <v>1138810</v>
      </c>
      <c r="AE9" s="22">
        <f t="shared" si="2"/>
        <v>1201385</v>
      </c>
      <c r="AF9" s="22">
        <f t="shared" si="2"/>
        <v>1112322</v>
      </c>
      <c r="AG9" s="22">
        <f t="shared" si="2"/>
        <v>1562715</v>
      </c>
      <c r="AH9" s="19">
        <f t="shared" si="2"/>
        <v>38022884</v>
      </c>
    </row>
    <row r="10">
      <c r="A10" s="21" t="s">
        <v>8</v>
      </c>
      <c r="B10" s="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9">
        <f>AH9-AH84</f>
        <v>33757475</v>
      </c>
    </row>
    <row r="11">
      <c r="A11" s="7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7"/>
      <c r="AC11" s="10"/>
      <c r="AD11" s="10"/>
      <c r="AE11" s="10"/>
      <c r="AF11" s="10"/>
      <c r="AG11" s="7"/>
      <c r="AH11" s="10"/>
    </row>
    <row r="12">
      <c r="A12" s="23" t="s">
        <v>9</v>
      </c>
      <c r="B12" s="24">
        <f t="shared" ref="B12:B32" si="4">AH12/$AH$10</f>
        <v>0.3631086744</v>
      </c>
      <c r="C12" s="25">
        <f t="shared" ref="C12:AH12" si="3">sum(C13:C32)</f>
        <v>791597</v>
      </c>
      <c r="D12" s="25">
        <f t="shared" si="3"/>
        <v>238720</v>
      </c>
      <c r="E12" s="25">
        <f t="shared" si="3"/>
        <v>400000</v>
      </c>
      <c r="F12" s="25">
        <f t="shared" si="3"/>
        <v>0</v>
      </c>
      <c r="G12" s="25">
        <f t="shared" si="3"/>
        <v>150000</v>
      </c>
      <c r="H12" s="25">
        <f t="shared" si="3"/>
        <v>184000</v>
      </c>
      <c r="I12" s="25">
        <f t="shared" si="3"/>
        <v>760608</v>
      </c>
      <c r="J12" s="25">
        <f t="shared" si="3"/>
        <v>529350</v>
      </c>
      <c r="K12" s="25">
        <f t="shared" si="3"/>
        <v>650000</v>
      </c>
      <c r="L12" s="25">
        <f t="shared" si="3"/>
        <v>416541</v>
      </c>
      <c r="M12" s="25">
        <f t="shared" si="3"/>
        <v>200000</v>
      </c>
      <c r="N12" s="25">
        <f t="shared" si="3"/>
        <v>0</v>
      </c>
      <c r="O12" s="25">
        <f t="shared" si="3"/>
        <v>132000</v>
      </c>
      <c r="P12" s="25">
        <f t="shared" si="3"/>
        <v>1441579</v>
      </c>
      <c r="Q12" s="25">
        <f t="shared" si="3"/>
        <v>638972</v>
      </c>
      <c r="R12" s="25">
        <f t="shared" si="3"/>
        <v>365500</v>
      </c>
      <c r="S12" s="25">
        <f t="shared" si="3"/>
        <v>234000</v>
      </c>
      <c r="T12" s="25">
        <f t="shared" si="3"/>
        <v>203986</v>
      </c>
      <c r="U12" s="25">
        <f t="shared" si="3"/>
        <v>0</v>
      </c>
      <c r="V12" s="25">
        <f t="shared" si="3"/>
        <v>100000</v>
      </c>
      <c r="W12" s="25">
        <f t="shared" si="3"/>
        <v>642680</v>
      </c>
      <c r="X12" s="25">
        <f t="shared" si="3"/>
        <v>209197</v>
      </c>
      <c r="Y12" s="25">
        <f t="shared" si="3"/>
        <v>908550</v>
      </c>
      <c r="Z12" s="25">
        <f t="shared" si="3"/>
        <v>544000</v>
      </c>
      <c r="AA12" s="25">
        <f t="shared" si="3"/>
        <v>23205</v>
      </c>
      <c r="AB12" s="25">
        <f t="shared" si="3"/>
        <v>0</v>
      </c>
      <c r="AC12" s="25">
        <f t="shared" si="3"/>
        <v>80000</v>
      </c>
      <c r="AD12" s="25">
        <f t="shared" si="3"/>
        <v>870126</v>
      </c>
      <c r="AE12" s="25">
        <f t="shared" si="3"/>
        <v>632429</v>
      </c>
      <c r="AF12" s="25">
        <f t="shared" si="3"/>
        <v>150492</v>
      </c>
      <c r="AG12" s="25">
        <f t="shared" si="3"/>
        <v>760100</v>
      </c>
      <c r="AH12" s="26">
        <f t="shared" si="3"/>
        <v>12257632</v>
      </c>
    </row>
    <row r="13">
      <c r="A13" s="16" t="s">
        <v>10</v>
      </c>
      <c r="B13" s="27">
        <f t="shared" si="4"/>
        <v>0.06958891327</v>
      </c>
      <c r="C13" s="17">
        <v>50000.0</v>
      </c>
      <c r="D13" s="17">
        <v>50000.0</v>
      </c>
      <c r="E13" s="17">
        <v>400000.0</v>
      </c>
      <c r="F13" s="17">
        <v>0.0</v>
      </c>
      <c r="G13" s="17">
        <v>150000.0</v>
      </c>
      <c r="H13" s="17">
        <v>100000.0</v>
      </c>
      <c r="I13" s="17">
        <v>50000.0</v>
      </c>
      <c r="J13" s="17">
        <v>9000.0</v>
      </c>
      <c r="K13" s="17">
        <v>150000.0</v>
      </c>
      <c r="L13" s="17">
        <v>77350.0</v>
      </c>
      <c r="M13" s="17">
        <v>200000.0</v>
      </c>
      <c r="N13" s="17">
        <v>0.0</v>
      </c>
      <c r="O13" s="17">
        <v>50000.0</v>
      </c>
      <c r="P13" s="17">
        <v>50000.0</v>
      </c>
      <c r="Q13" s="17">
        <v>152796.0</v>
      </c>
      <c r="R13" s="17">
        <v>0.0</v>
      </c>
      <c r="S13" s="17">
        <v>150000.0</v>
      </c>
      <c r="T13" s="17">
        <v>50000.0</v>
      </c>
      <c r="U13" s="17">
        <v>0.0</v>
      </c>
      <c r="V13" s="17">
        <v>100000.0</v>
      </c>
      <c r="W13" s="17">
        <v>50000.0</v>
      </c>
      <c r="X13" s="17">
        <v>0.0</v>
      </c>
      <c r="Y13" s="17">
        <v>0.0</v>
      </c>
      <c r="Z13" s="17">
        <v>460000.0</v>
      </c>
      <c r="AA13" s="17">
        <v>0.0</v>
      </c>
      <c r="AB13" s="17">
        <v>0.0</v>
      </c>
      <c r="AC13" s="17">
        <v>0.0</v>
      </c>
      <c r="AD13" s="17">
        <v>0.0</v>
      </c>
      <c r="AE13" s="17">
        <v>0.0</v>
      </c>
      <c r="AF13" s="17">
        <v>0.0</v>
      </c>
      <c r="AG13" s="17">
        <v>50000.0</v>
      </c>
      <c r="AH13" s="19">
        <f t="shared" ref="AH13:AH32" si="5">SUM(C13:AG13)</f>
        <v>2349146</v>
      </c>
    </row>
    <row r="14">
      <c r="A14" s="28" t="s">
        <v>12</v>
      </c>
      <c r="B14" s="27">
        <f t="shared" si="4"/>
        <v>0.01500704659</v>
      </c>
      <c r="C14" s="17">
        <v>149000.0</v>
      </c>
      <c r="D14" s="17">
        <v>0.0</v>
      </c>
      <c r="E14" s="17">
        <v>0.0</v>
      </c>
      <c r="F14" s="17">
        <v>0.0</v>
      </c>
      <c r="G14" s="17">
        <v>0.0</v>
      </c>
      <c r="H14" s="17">
        <v>0.0</v>
      </c>
      <c r="I14" s="17">
        <v>0.0</v>
      </c>
      <c r="J14" s="17">
        <v>119200.0</v>
      </c>
      <c r="K14" s="17">
        <v>0.0</v>
      </c>
      <c r="L14" s="17">
        <v>0.0</v>
      </c>
      <c r="M14" s="17">
        <v>0.0</v>
      </c>
      <c r="N14" s="17">
        <v>0.0</v>
      </c>
      <c r="O14" s="17">
        <v>0.0</v>
      </c>
      <c r="P14" s="17">
        <v>0.0</v>
      </c>
      <c r="Q14" s="17">
        <v>0.0</v>
      </c>
      <c r="R14" s="17">
        <v>0.0</v>
      </c>
      <c r="S14" s="17">
        <v>0.0</v>
      </c>
      <c r="T14" s="17">
        <v>0.0</v>
      </c>
      <c r="U14" s="17">
        <v>0.0</v>
      </c>
      <c r="V14" s="17">
        <v>0.0</v>
      </c>
      <c r="W14" s="17">
        <v>0.0</v>
      </c>
      <c r="X14" s="17">
        <v>119200.0</v>
      </c>
      <c r="Y14" s="17">
        <v>0.0</v>
      </c>
      <c r="Z14" s="17">
        <v>0.0</v>
      </c>
      <c r="AA14" s="17">
        <v>0.0</v>
      </c>
      <c r="AB14" s="17">
        <v>0.0</v>
      </c>
      <c r="AC14" s="17">
        <v>0.0</v>
      </c>
      <c r="AD14" s="17">
        <v>0.0</v>
      </c>
      <c r="AE14" s="17">
        <v>119200.0</v>
      </c>
      <c r="AF14" s="17">
        <v>0.0</v>
      </c>
      <c r="AG14" s="17">
        <v>0.0</v>
      </c>
      <c r="AH14" s="19">
        <f t="shared" si="5"/>
        <v>506600</v>
      </c>
    </row>
    <row r="15">
      <c r="A15" s="16" t="s">
        <v>13</v>
      </c>
      <c r="B15" s="27">
        <f t="shared" si="4"/>
        <v>0.07417006159</v>
      </c>
      <c r="C15" s="17">
        <v>0.0</v>
      </c>
      <c r="D15" s="17">
        <v>0.0</v>
      </c>
      <c r="E15" s="17">
        <v>0.0</v>
      </c>
      <c r="F15" s="17">
        <v>0.0</v>
      </c>
      <c r="G15" s="17">
        <v>0.0</v>
      </c>
      <c r="H15" s="17">
        <v>0.0</v>
      </c>
      <c r="I15" s="17">
        <v>710608.0</v>
      </c>
      <c r="J15" s="17">
        <v>0.0</v>
      </c>
      <c r="K15" s="17">
        <v>0.0</v>
      </c>
      <c r="L15" s="17">
        <v>0.0</v>
      </c>
      <c r="M15" s="17">
        <v>0.0</v>
      </c>
      <c r="N15" s="17">
        <v>0.0</v>
      </c>
      <c r="O15" s="17">
        <v>0.0</v>
      </c>
      <c r="P15" s="17">
        <v>634020.0</v>
      </c>
      <c r="Q15" s="17">
        <v>0.0</v>
      </c>
      <c r="R15" s="17">
        <v>0.0</v>
      </c>
      <c r="S15" s="17">
        <v>0.0</v>
      </c>
      <c r="T15" s="17">
        <v>0.0</v>
      </c>
      <c r="U15" s="17">
        <v>0.0</v>
      </c>
      <c r="V15" s="17">
        <v>0.0</v>
      </c>
      <c r="W15" s="17">
        <v>592680.0</v>
      </c>
      <c r="X15" s="17">
        <v>0.0</v>
      </c>
      <c r="Y15" s="17">
        <v>0.0</v>
      </c>
      <c r="Z15" s="17">
        <v>0.0</v>
      </c>
      <c r="AA15" s="17">
        <v>0.0</v>
      </c>
      <c r="AB15" s="17">
        <v>0.0</v>
      </c>
      <c r="AC15" s="17">
        <v>0.0</v>
      </c>
      <c r="AD15" s="17">
        <v>566486.0</v>
      </c>
      <c r="AE15" s="17">
        <v>0.0</v>
      </c>
      <c r="AF15" s="17">
        <v>0.0</v>
      </c>
      <c r="AG15" s="17">
        <v>0.0</v>
      </c>
      <c r="AH15" s="19">
        <f t="shared" si="5"/>
        <v>2503794</v>
      </c>
    </row>
    <row r="16">
      <c r="A16" s="28" t="s">
        <v>14</v>
      </c>
      <c r="B16" s="27">
        <f t="shared" si="4"/>
        <v>0.009123075704</v>
      </c>
      <c r="C16" s="17">
        <v>0.0</v>
      </c>
      <c r="D16" s="17">
        <v>0.0</v>
      </c>
      <c r="E16" s="17">
        <v>0.0</v>
      </c>
      <c r="F16" s="17">
        <v>0.0</v>
      </c>
      <c r="G16" s="17">
        <v>0.0</v>
      </c>
      <c r="H16" s="17">
        <v>0.0</v>
      </c>
      <c r="I16" s="17">
        <v>0.0</v>
      </c>
      <c r="J16" s="17">
        <v>0.0</v>
      </c>
      <c r="K16" s="17">
        <v>0.0</v>
      </c>
      <c r="L16" s="17">
        <v>153986.0</v>
      </c>
      <c r="M16" s="17">
        <v>0.0</v>
      </c>
      <c r="N16" s="17">
        <v>0.0</v>
      </c>
      <c r="O16" s="17">
        <v>0.0</v>
      </c>
      <c r="P16" s="17">
        <v>0.0</v>
      </c>
      <c r="Q16" s="17">
        <v>0.0</v>
      </c>
      <c r="R16" s="17">
        <v>0.0</v>
      </c>
      <c r="S16" s="17">
        <v>0.0</v>
      </c>
      <c r="T16" s="17">
        <v>153986.0</v>
      </c>
      <c r="U16" s="17">
        <v>0.0</v>
      </c>
      <c r="V16" s="17">
        <v>0.0</v>
      </c>
      <c r="W16" s="17">
        <v>0.0</v>
      </c>
      <c r="X16" s="17">
        <v>0.0</v>
      </c>
      <c r="Y16" s="17">
        <v>0.0</v>
      </c>
      <c r="Z16" s="17">
        <v>0.0</v>
      </c>
      <c r="AA16" s="17">
        <v>0.0</v>
      </c>
      <c r="AB16" s="17">
        <v>0.0</v>
      </c>
      <c r="AC16" s="17">
        <v>0.0</v>
      </c>
      <c r="AD16" s="17">
        <v>0.0</v>
      </c>
      <c r="AE16" s="17">
        <v>0.0</v>
      </c>
      <c r="AF16" s="17">
        <v>0.0</v>
      </c>
      <c r="AG16" s="17">
        <v>0.0</v>
      </c>
      <c r="AH16" s="19">
        <f t="shared" si="5"/>
        <v>307972</v>
      </c>
    </row>
    <row r="17">
      <c r="A17" s="28" t="s">
        <v>15</v>
      </c>
      <c r="B17" s="27">
        <f t="shared" si="4"/>
        <v>0.04147229614</v>
      </c>
      <c r="C17" s="17">
        <v>0.0</v>
      </c>
      <c r="D17" s="17">
        <v>0.0</v>
      </c>
      <c r="E17" s="17">
        <v>0.0</v>
      </c>
      <c r="F17" s="17">
        <v>0.0</v>
      </c>
      <c r="G17" s="17">
        <v>0.0</v>
      </c>
      <c r="H17" s="17">
        <v>0.0</v>
      </c>
      <c r="I17" s="17">
        <v>0.0</v>
      </c>
      <c r="J17" s="17">
        <v>0.0</v>
      </c>
      <c r="K17" s="17">
        <v>500000.0</v>
      </c>
      <c r="L17" s="17">
        <v>0.0</v>
      </c>
      <c r="M17" s="17">
        <v>0.0</v>
      </c>
      <c r="N17" s="17">
        <v>0.0</v>
      </c>
      <c r="O17" s="17">
        <v>0.0</v>
      </c>
      <c r="P17" s="17">
        <v>0.0</v>
      </c>
      <c r="Q17" s="17">
        <v>0.0</v>
      </c>
      <c r="R17" s="17">
        <v>0.0</v>
      </c>
      <c r="S17" s="17">
        <v>0.0</v>
      </c>
      <c r="T17" s="17">
        <v>0.0</v>
      </c>
      <c r="U17" s="17">
        <v>0.0</v>
      </c>
      <c r="V17" s="17">
        <v>0.0</v>
      </c>
      <c r="W17" s="17">
        <v>0.0</v>
      </c>
      <c r="X17" s="17">
        <v>0.0</v>
      </c>
      <c r="Y17" s="17">
        <v>500000.0</v>
      </c>
      <c r="Z17" s="17">
        <v>0.0</v>
      </c>
      <c r="AA17" s="17">
        <v>0.0</v>
      </c>
      <c r="AB17" s="17">
        <v>0.0</v>
      </c>
      <c r="AC17" s="17">
        <v>0.0</v>
      </c>
      <c r="AD17" s="17">
        <v>0.0</v>
      </c>
      <c r="AE17" s="17">
        <v>0.0</v>
      </c>
      <c r="AF17" s="17">
        <v>0.0</v>
      </c>
      <c r="AG17" s="17">
        <v>400000.0</v>
      </c>
      <c r="AH17" s="19">
        <f t="shared" si="5"/>
        <v>1400000</v>
      </c>
    </row>
    <row r="18">
      <c r="A18" s="29" t="s">
        <v>16</v>
      </c>
      <c r="B18" s="27">
        <f t="shared" si="4"/>
        <v>0.007367553409</v>
      </c>
      <c r="C18" s="17">
        <v>0.0</v>
      </c>
      <c r="D18" s="17">
        <v>0.0</v>
      </c>
      <c r="E18" s="17">
        <v>0.0</v>
      </c>
      <c r="F18" s="17">
        <v>0.0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248710.0</v>
      </c>
      <c r="Q18" s="17">
        <v>0.0</v>
      </c>
      <c r="R18" s="17">
        <v>0.0</v>
      </c>
      <c r="S18" s="17">
        <v>0.0</v>
      </c>
      <c r="T18" s="17">
        <v>0.0</v>
      </c>
      <c r="U18" s="17">
        <v>0.0</v>
      </c>
      <c r="V18" s="17">
        <v>0.0</v>
      </c>
      <c r="W18" s="17">
        <v>0.0</v>
      </c>
      <c r="X18" s="17">
        <v>0.0</v>
      </c>
      <c r="Y18" s="17">
        <v>0.0</v>
      </c>
      <c r="Z18" s="17">
        <v>0.0</v>
      </c>
      <c r="AA18" s="17">
        <v>0.0</v>
      </c>
      <c r="AB18" s="17">
        <v>0.0</v>
      </c>
      <c r="AC18" s="17">
        <v>0.0</v>
      </c>
      <c r="AD18" s="17">
        <v>0.0</v>
      </c>
      <c r="AE18" s="17">
        <v>0.0</v>
      </c>
      <c r="AF18" s="17">
        <v>0.0</v>
      </c>
      <c r="AG18" s="17">
        <v>0.0</v>
      </c>
      <c r="AH18" s="19">
        <f t="shared" si="5"/>
        <v>248710</v>
      </c>
    </row>
    <row r="19">
      <c r="A19" s="29" t="s">
        <v>17</v>
      </c>
      <c r="B19" s="27">
        <f t="shared" si="4"/>
        <v>0.06420563149</v>
      </c>
      <c r="C19" s="17">
        <v>480100.0</v>
      </c>
      <c r="D19" s="17">
        <v>0.0</v>
      </c>
      <c r="E19" s="17">
        <v>0.0</v>
      </c>
      <c r="F19" s="17">
        <v>0.0</v>
      </c>
      <c r="G19" s="17">
        <v>0.0</v>
      </c>
      <c r="H19" s="17">
        <v>0.0</v>
      </c>
      <c r="I19" s="17">
        <v>0.0</v>
      </c>
      <c r="J19" s="17">
        <v>401150.0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365500.0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408550.0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286020.0</v>
      </c>
      <c r="AF19" s="17">
        <v>0.0</v>
      </c>
      <c r="AG19" s="17">
        <v>226100.0</v>
      </c>
      <c r="AH19" s="19">
        <f t="shared" si="5"/>
        <v>2167420</v>
      </c>
    </row>
    <row r="20">
      <c r="A20" s="28" t="s">
        <v>102</v>
      </c>
      <c r="B20" s="27">
        <f t="shared" si="4"/>
        <v>0.01990670215</v>
      </c>
      <c r="C20" s="17">
        <v>0.0</v>
      </c>
      <c r="D20" s="17">
        <v>84000.0</v>
      </c>
      <c r="E20" s="17">
        <v>0.0</v>
      </c>
      <c r="F20" s="17">
        <v>0.0</v>
      </c>
      <c r="G20" s="17">
        <v>0.0</v>
      </c>
      <c r="H20" s="17">
        <v>84000.0</v>
      </c>
      <c r="I20" s="17">
        <v>0.0</v>
      </c>
      <c r="J20" s="17">
        <v>0.0</v>
      </c>
      <c r="K20" s="17">
        <v>0.0</v>
      </c>
      <c r="L20" s="17">
        <v>84000.0</v>
      </c>
      <c r="M20" s="17">
        <v>0.0</v>
      </c>
      <c r="N20" s="17">
        <v>0.0</v>
      </c>
      <c r="O20" s="17">
        <v>0.0</v>
      </c>
      <c r="P20" s="17">
        <v>84000.0</v>
      </c>
      <c r="Q20" s="17">
        <v>0.0</v>
      </c>
      <c r="R20" s="17">
        <v>0.0</v>
      </c>
      <c r="S20" s="17">
        <v>84000.0</v>
      </c>
      <c r="T20" s="17">
        <v>0.0</v>
      </c>
      <c r="U20" s="17">
        <v>0.0</v>
      </c>
      <c r="V20" s="17">
        <v>0.0</v>
      </c>
      <c r="W20" s="17">
        <v>0.0</v>
      </c>
      <c r="X20" s="17">
        <v>0.0</v>
      </c>
      <c r="Y20" s="17">
        <v>0.0</v>
      </c>
      <c r="Z20" s="17">
        <v>84000.0</v>
      </c>
      <c r="AA20" s="17">
        <v>0.0</v>
      </c>
      <c r="AB20" s="17">
        <v>0.0</v>
      </c>
      <c r="AC20" s="17">
        <v>0.0</v>
      </c>
      <c r="AD20" s="17">
        <v>0.0</v>
      </c>
      <c r="AE20" s="17">
        <v>0.0</v>
      </c>
      <c r="AF20" s="17">
        <v>84000.0</v>
      </c>
      <c r="AG20" s="17">
        <v>84000.0</v>
      </c>
      <c r="AH20" s="19">
        <f t="shared" si="5"/>
        <v>672000</v>
      </c>
    </row>
    <row r="21">
      <c r="A21" s="28" t="s">
        <v>18</v>
      </c>
      <c r="B21" s="27">
        <f t="shared" si="4"/>
        <v>0.005922243888</v>
      </c>
      <c r="C21" s="17">
        <v>0.0</v>
      </c>
      <c r="D21" s="17">
        <v>104720.0</v>
      </c>
      <c r="E21" s="17">
        <v>0.0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7">
        <v>0.0</v>
      </c>
      <c r="R21" s="17">
        <v>0.0</v>
      </c>
      <c r="S21" s="17">
        <v>0.0</v>
      </c>
      <c r="T21" s="17">
        <v>0.0</v>
      </c>
      <c r="U21" s="17">
        <v>0.0</v>
      </c>
      <c r="V21" s="17">
        <v>0.0</v>
      </c>
      <c r="W21" s="17">
        <v>0.0</v>
      </c>
      <c r="X21" s="17">
        <v>0.0</v>
      </c>
      <c r="Y21" s="17">
        <v>0.0</v>
      </c>
      <c r="Z21" s="17">
        <v>0.0</v>
      </c>
      <c r="AA21" s="17">
        <v>0.0</v>
      </c>
      <c r="AB21" s="17">
        <v>0.0</v>
      </c>
      <c r="AC21" s="17">
        <v>0.0</v>
      </c>
      <c r="AD21" s="17">
        <v>0.0</v>
      </c>
      <c r="AE21" s="17">
        <v>95200.0</v>
      </c>
      <c r="AF21" s="17">
        <v>0.0</v>
      </c>
      <c r="AG21" s="17">
        <v>0.0</v>
      </c>
      <c r="AH21" s="19">
        <f t="shared" si="5"/>
        <v>199920</v>
      </c>
    </row>
    <row r="22">
      <c r="A22" s="16" t="s">
        <v>20</v>
      </c>
      <c r="B22" s="27">
        <f t="shared" si="4"/>
        <v>0.01184949408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174949.0</v>
      </c>
      <c r="Q22" s="17">
        <v>225060.0</v>
      </c>
      <c r="R22" s="17">
        <v>0.0</v>
      </c>
      <c r="S22" s="17">
        <v>0.0</v>
      </c>
      <c r="T22" s="17">
        <v>0.0</v>
      </c>
      <c r="U22" s="17">
        <v>0.0</v>
      </c>
      <c r="V22" s="17">
        <v>0.0</v>
      </c>
      <c r="W22" s="17">
        <v>0.0</v>
      </c>
      <c r="X22" s="17">
        <v>0.0</v>
      </c>
      <c r="Y22" s="17">
        <v>0.0</v>
      </c>
      <c r="Z22" s="17">
        <v>0.0</v>
      </c>
      <c r="AA22" s="17">
        <v>0.0</v>
      </c>
      <c r="AB22" s="17">
        <v>0.0</v>
      </c>
      <c r="AC22" s="17">
        <v>0.0</v>
      </c>
      <c r="AD22" s="17">
        <v>0.0</v>
      </c>
      <c r="AE22" s="17">
        <v>0.0</v>
      </c>
      <c r="AF22" s="17">
        <v>0.0</v>
      </c>
      <c r="AG22" s="17">
        <v>0.0</v>
      </c>
      <c r="AH22" s="19">
        <f t="shared" si="5"/>
        <v>400009</v>
      </c>
    </row>
    <row r="23">
      <c r="A23" s="16" t="s">
        <v>22</v>
      </c>
      <c r="B23" s="27">
        <f t="shared" si="4"/>
        <v>0.0005207735472</v>
      </c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7">
        <v>0.0</v>
      </c>
      <c r="O23" s="17">
        <v>0.0</v>
      </c>
      <c r="P23" s="17">
        <v>0.0</v>
      </c>
      <c r="Q23" s="17">
        <v>17580.0</v>
      </c>
      <c r="R23" s="17">
        <v>0.0</v>
      </c>
      <c r="S23" s="17">
        <v>0.0</v>
      </c>
      <c r="T23" s="17">
        <v>0.0</v>
      </c>
      <c r="U23" s="17">
        <v>0.0</v>
      </c>
      <c r="V23" s="17">
        <v>0.0</v>
      </c>
      <c r="W23" s="17">
        <v>0.0</v>
      </c>
      <c r="X23" s="17">
        <v>0.0</v>
      </c>
      <c r="Y23" s="17">
        <v>0.0</v>
      </c>
      <c r="Z23" s="17">
        <v>0.0</v>
      </c>
      <c r="AA23" s="17">
        <v>0.0</v>
      </c>
      <c r="AB23" s="17">
        <v>0.0</v>
      </c>
      <c r="AC23" s="17">
        <v>0.0</v>
      </c>
      <c r="AD23" s="17">
        <v>0.0</v>
      </c>
      <c r="AE23" s="17">
        <v>0.0</v>
      </c>
      <c r="AF23" s="17">
        <v>0.0</v>
      </c>
      <c r="AG23" s="17">
        <v>0.0</v>
      </c>
      <c r="AH23" s="19">
        <f t="shared" si="5"/>
        <v>17580</v>
      </c>
    </row>
    <row r="24">
      <c r="A24" s="16" t="s">
        <v>23</v>
      </c>
      <c r="B24" s="27">
        <f t="shared" si="4"/>
        <v>0.003680251559</v>
      </c>
      <c r="C24" s="17">
        <v>0.0</v>
      </c>
      <c r="D24" s="17">
        <v>0.0</v>
      </c>
      <c r="E24" s="17">
        <v>0.0</v>
      </c>
      <c r="F24" s="17">
        <v>0.0</v>
      </c>
      <c r="G24" s="17">
        <v>0.0</v>
      </c>
      <c r="H24" s="17">
        <v>0.0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17">
        <v>0.0</v>
      </c>
      <c r="P24" s="17">
        <v>124236.0</v>
      </c>
      <c r="Q24" s="17">
        <v>0.0</v>
      </c>
      <c r="R24" s="17">
        <v>0.0</v>
      </c>
      <c r="S24" s="17">
        <v>0.0</v>
      </c>
      <c r="T24" s="17">
        <v>0.0</v>
      </c>
      <c r="U24" s="17">
        <v>0.0</v>
      </c>
      <c r="V24" s="17">
        <v>0.0</v>
      </c>
      <c r="W24" s="17">
        <v>0.0</v>
      </c>
      <c r="X24" s="17">
        <v>0.0</v>
      </c>
      <c r="Y24" s="17">
        <v>0.0</v>
      </c>
      <c r="Z24" s="17">
        <v>0.0</v>
      </c>
      <c r="AA24" s="17">
        <v>0.0</v>
      </c>
      <c r="AB24" s="17">
        <v>0.0</v>
      </c>
      <c r="AC24" s="17">
        <v>0.0</v>
      </c>
      <c r="AD24" s="17">
        <v>0.0</v>
      </c>
      <c r="AE24" s="17">
        <v>0.0</v>
      </c>
      <c r="AF24" s="17">
        <v>0.0</v>
      </c>
      <c r="AG24" s="17">
        <v>0.0</v>
      </c>
      <c r="AH24" s="19">
        <f t="shared" si="5"/>
        <v>124236</v>
      </c>
    </row>
    <row r="25">
      <c r="A25" s="16" t="s">
        <v>24</v>
      </c>
      <c r="B25" s="27">
        <f t="shared" si="4"/>
        <v>0.003344503699</v>
      </c>
      <c r="C25" s="17">
        <v>0.0</v>
      </c>
      <c r="D25" s="17">
        <v>0.0</v>
      </c>
      <c r="E25" s="17">
        <v>0.0</v>
      </c>
      <c r="F25" s="17">
        <v>0.0</v>
      </c>
      <c r="G25" s="17">
        <v>0.0</v>
      </c>
      <c r="H25" s="17">
        <v>0.0</v>
      </c>
      <c r="I25" s="17">
        <v>0.0</v>
      </c>
      <c r="J25" s="17">
        <v>0.0</v>
      </c>
      <c r="K25" s="17">
        <v>0.0</v>
      </c>
      <c r="L25" s="17">
        <v>23205.0</v>
      </c>
      <c r="M25" s="17">
        <v>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  <c r="S25" s="17">
        <v>0.0</v>
      </c>
      <c r="T25" s="17">
        <v>0.0</v>
      </c>
      <c r="U25" s="17">
        <v>0.0</v>
      </c>
      <c r="V25" s="17">
        <v>0.0</v>
      </c>
      <c r="W25" s="17">
        <v>0.0</v>
      </c>
      <c r="X25" s="17">
        <v>0.0</v>
      </c>
      <c r="Y25" s="17">
        <v>0.0</v>
      </c>
      <c r="Z25" s="17">
        <v>0.0</v>
      </c>
      <c r="AA25" s="17">
        <v>23205.0</v>
      </c>
      <c r="AB25" s="17">
        <v>0.0</v>
      </c>
      <c r="AC25" s="17">
        <v>0.0</v>
      </c>
      <c r="AD25" s="17">
        <v>0.0</v>
      </c>
      <c r="AE25" s="17">
        <v>0.0</v>
      </c>
      <c r="AF25" s="17">
        <v>66492.0</v>
      </c>
      <c r="AG25" s="17">
        <v>0.0</v>
      </c>
      <c r="AH25" s="19">
        <f t="shared" si="5"/>
        <v>112902</v>
      </c>
    </row>
    <row r="26">
      <c r="A26" s="16" t="s">
        <v>25</v>
      </c>
      <c r="B26" s="27">
        <f t="shared" si="4"/>
        <v>0.008375744928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7">
        <v>0.0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7">
        <v>0.0</v>
      </c>
      <c r="O26" s="17">
        <v>0.0</v>
      </c>
      <c r="P26" s="17">
        <v>125664.0</v>
      </c>
      <c r="Q26" s="17">
        <v>0.0</v>
      </c>
      <c r="R26" s="17">
        <v>0.0</v>
      </c>
      <c r="S26" s="17">
        <v>0.0</v>
      </c>
      <c r="T26" s="17">
        <v>0.0</v>
      </c>
      <c r="U26" s="17">
        <v>0.0</v>
      </c>
      <c r="V26" s="17">
        <v>0.0</v>
      </c>
      <c r="W26" s="17">
        <v>0.0</v>
      </c>
      <c r="X26" s="17">
        <v>0.0</v>
      </c>
      <c r="Y26" s="17">
        <v>0.0</v>
      </c>
      <c r="Z26" s="17">
        <v>0.0</v>
      </c>
      <c r="AA26" s="17">
        <v>0.0</v>
      </c>
      <c r="AB26" s="17">
        <v>0.0</v>
      </c>
      <c r="AC26" s="17">
        <v>0.0</v>
      </c>
      <c r="AD26" s="17">
        <v>157080.0</v>
      </c>
      <c r="AE26" s="17">
        <v>0.0</v>
      </c>
      <c r="AF26" s="17">
        <v>0.0</v>
      </c>
      <c r="AG26" s="17">
        <v>0.0</v>
      </c>
      <c r="AH26" s="19">
        <f t="shared" si="5"/>
        <v>282744</v>
      </c>
    </row>
    <row r="27">
      <c r="A27" s="16" t="s">
        <v>26</v>
      </c>
      <c r="B27" s="27">
        <f t="shared" si="4"/>
        <v>0</v>
      </c>
      <c r="C27" s="17">
        <v>0.0</v>
      </c>
      <c r="D27" s="17">
        <v>0.0</v>
      </c>
      <c r="E27" s="17">
        <v>0.0</v>
      </c>
      <c r="F27" s="17">
        <v>0.0</v>
      </c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17">
        <v>0.0</v>
      </c>
      <c r="S27" s="17">
        <v>0.0</v>
      </c>
      <c r="T27" s="17">
        <v>0.0</v>
      </c>
      <c r="U27" s="17">
        <v>0.0</v>
      </c>
      <c r="V27" s="17">
        <v>0.0</v>
      </c>
      <c r="W27" s="17">
        <v>0.0</v>
      </c>
      <c r="X27" s="17">
        <v>0.0</v>
      </c>
      <c r="Y27" s="17">
        <v>0.0</v>
      </c>
      <c r="Z27" s="17">
        <v>0.0</v>
      </c>
      <c r="AA27" s="17">
        <v>0.0</v>
      </c>
      <c r="AB27" s="17">
        <v>0.0</v>
      </c>
      <c r="AC27" s="17">
        <v>0.0</v>
      </c>
      <c r="AD27" s="17">
        <v>0.0</v>
      </c>
      <c r="AE27" s="17">
        <v>0.0</v>
      </c>
      <c r="AF27" s="17">
        <v>0.0</v>
      </c>
      <c r="AG27" s="17">
        <v>0.0</v>
      </c>
      <c r="AH27" s="19">
        <f t="shared" si="5"/>
        <v>0</v>
      </c>
    </row>
    <row r="28">
      <c r="A28" s="16" t="s">
        <v>27</v>
      </c>
      <c r="B28" s="27">
        <f t="shared" si="4"/>
        <v>0.007653771498</v>
      </c>
      <c r="C28" s="17">
        <v>0.0</v>
      </c>
      <c r="D28" s="17">
        <v>0.0</v>
      </c>
      <c r="E28" s="17">
        <v>0.0</v>
      </c>
      <c r="F28" s="17">
        <v>0.0</v>
      </c>
      <c r="G28" s="17">
        <v>0.0</v>
      </c>
      <c r="H28" s="17">
        <v>0.0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111812.0</v>
      </c>
      <c r="R28" s="17">
        <v>0.0</v>
      </c>
      <c r="S28" s="17">
        <v>0.0</v>
      </c>
      <c r="T28" s="17">
        <v>0.0</v>
      </c>
      <c r="U28" s="17">
        <v>0.0</v>
      </c>
      <c r="V28" s="17">
        <v>0.0</v>
      </c>
      <c r="W28" s="17">
        <v>0.0</v>
      </c>
      <c r="X28" s="17">
        <v>0.0</v>
      </c>
      <c r="Y28" s="17">
        <v>0.0</v>
      </c>
      <c r="Z28" s="17">
        <v>0.0</v>
      </c>
      <c r="AA28" s="17">
        <v>0.0</v>
      </c>
      <c r="AB28" s="17">
        <v>0.0</v>
      </c>
      <c r="AC28" s="17">
        <v>0.0</v>
      </c>
      <c r="AD28" s="17">
        <v>146560.0</v>
      </c>
      <c r="AE28" s="17">
        <v>0.0</v>
      </c>
      <c r="AF28" s="17">
        <v>0.0</v>
      </c>
      <c r="AG28" s="17">
        <v>0.0</v>
      </c>
      <c r="AH28" s="19">
        <f t="shared" si="5"/>
        <v>258372</v>
      </c>
    </row>
    <row r="29">
      <c r="A29" s="16" t="s">
        <v>28</v>
      </c>
      <c r="B29" s="27">
        <f t="shared" si="4"/>
        <v>0.005998493667</v>
      </c>
      <c r="C29" s="17">
        <v>112497.0</v>
      </c>
      <c r="D29" s="17">
        <v>0.0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89997.0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0.0</v>
      </c>
      <c r="AG29" s="17">
        <v>0.0</v>
      </c>
      <c r="AH29" s="19">
        <f t="shared" si="5"/>
        <v>202494</v>
      </c>
    </row>
    <row r="30">
      <c r="A30" s="16" t="s">
        <v>29</v>
      </c>
      <c r="B30" s="27">
        <f t="shared" si="4"/>
        <v>0.002453501039</v>
      </c>
      <c r="C30" s="17">
        <v>0.0</v>
      </c>
      <c r="D30" s="17">
        <v>0.0</v>
      </c>
      <c r="E30" s="17">
        <v>0.0</v>
      </c>
      <c r="F30" s="17">
        <v>0.0</v>
      </c>
      <c r="G30" s="17">
        <v>0.0</v>
      </c>
      <c r="H30" s="17">
        <v>0.0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7">
        <v>0.0</v>
      </c>
      <c r="O30" s="17">
        <v>0.0</v>
      </c>
      <c r="P30" s="17">
        <v>0.0</v>
      </c>
      <c r="Q30" s="17">
        <v>82824.0</v>
      </c>
      <c r="R30" s="17">
        <v>0.0</v>
      </c>
      <c r="S30" s="17">
        <v>0.0</v>
      </c>
      <c r="T30" s="17">
        <v>0.0</v>
      </c>
      <c r="U30" s="17">
        <v>0.0</v>
      </c>
      <c r="V30" s="17">
        <v>0.0</v>
      </c>
      <c r="W30" s="17">
        <v>0.0</v>
      </c>
      <c r="X30" s="17">
        <v>0.0</v>
      </c>
      <c r="Y30" s="17">
        <v>0.0</v>
      </c>
      <c r="Z30" s="17">
        <v>0.0</v>
      </c>
      <c r="AA30" s="17">
        <v>0.0</v>
      </c>
      <c r="AB30" s="17">
        <v>0.0</v>
      </c>
      <c r="AC30" s="17">
        <v>0.0</v>
      </c>
      <c r="AD30" s="17">
        <v>0.0</v>
      </c>
      <c r="AE30" s="17">
        <v>0.0</v>
      </c>
      <c r="AF30" s="17">
        <v>0.0</v>
      </c>
      <c r="AG30" s="17">
        <v>0.0</v>
      </c>
      <c r="AH30" s="19">
        <f t="shared" si="5"/>
        <v>82824</v>
      </c>
    </row>
    <row r="31">
      <c r="A31" s="16" t="s">
        <v>30</v>
      </c>
      <c r="B31" s="27">
        <f t="shared" si="4"/>
        <v>0.001448568058</v>
      </c>
      <c r="C31" s="17">
        <v>0.0</v>
      </c>
      <c r="D31" s="17">
        <v>0.0</v>
      </c>
      <c r="E31" s="17">
        <v>0.0</v>
      </c>
      <c r="F31" s="17">
        <v>0.0</v>
      </c>
      <c r="G31" s="17">
        <v>0.0</v>
      </c>
      <c r="H31" s="17">
        <v>0.0</v>
      </c>
      <c r="I31" s="17">
        <v>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48900.0</v>
      </c>
      <c r="R31" s="17">
        <v>0.0</v>
      </c>
      <c r="S31" s="17">
        <v>0.0</v>
      </c>
      <c r="T31" s="17">
        <v>0.0</v>
      </c>
      <c r="U31" s="17">
        <v>0.0</v>
      </c>
      <c r="V31" s="17">
        <v>0.0</v>
      </c>
      <c r="W31" s="17">
        <v>0.0</v>
      </c>
      <c r="X31" s="17">
        <v>0.0</v>
      </c>
      <c r="Y31" s="17">
        <v>0.0</v>
      </c>
      <c r="Z31" s="17">
        <v>0.0</v>
      </c>
      <c r="AA31" s="17">
        <v>0.0</v>
      </c>
      <c r="AB31" s="17">
        <v>0.0</v>
      </c>
      <c r="AC31" s="17">
        <v>0.0</v>
      </c>
      <c r="AD31" s="17">
        <v>0.0</v>
      </c>
      <c r="AE31" s="17">
        <v>0.0</v>
      </c>
      <c r="AF31" s="17">
        <v>0.0</v>
      </c>
      <c r="AG31" s="17">
        <v>0.0</v>
      </c>
      <c r="AH31" s="19">
        <f t="shared" si="5"/>
        <v>48900</v>
      </c>
    </row>
    <row r="32">
      <c r="A32" s="16" t="s">
        <v>31</v>
      </c>
      <c r="B32" s="27">
        <f t="shared" si="4"/>
        <v>0.01102004815</v>
      </c>
      <c r="C32" s="17">
        <v>0.0</v>
      </c>
      <c r="D32" s="17">
        <v>0.0</v>
      </c>
      <c r="E32" s="17">
        <v>0.0</v>
      </c>
      <c r="F32" s="17">
        <v>0.0</v>
      </c>
      <c r="G32" s="17">
        <v>0.0</v>
      </c>
      <c r="H32" s="17">
        <v>0.0</v>
      </c>
      <c r="I32" s="17">
        <v>0.0</v>
      </c>
      <c r="J32" s="17">
        <v>0.0</v>
      </c>
      <c r="K32" s="17">
        <v>0.0</v>
      </c>
      <c r="L32" s="17">
        <f>78000</f>
        <v>78000</v>
      </c>
      <c r="M32" s="17">
        <v>0.0</v>
      </c>
      <c r="N32" s="17">
        <v>0.0</v>
      </c>
      <c r="O32" s="17">
        <v>82000.0</v>
      </c>
      <c r="P32" s="17">
        <v>0.0</v>
      </c>
      <c r="Q32" s="17">
        <v>0.0</v>
      </c>
      <c r="R32" s="17">
        <v>0.0</v>
      </c>
      <c r="S32" s="17">
        <v>0.0</v>
      </c>
      <c r="T32" s="17">
        <v>0.0</v>
      </c>
      <c r="U32" s="17">
        <v>0.0</v>
      </c>
      <c r="V32" s="17">
        <v>0.0</v>
      </c>
      <c r="W32" s="17">
        <v>0.0</v>
      </c>
      <c r="X32" s="17">
        <v>0.0</v>
      </c>
      <c r="Y32" s="17">
        <v>0.0</v>
      </c>
      <c r="Z32" s="17">
        <v>0.0</v>
      </c>
      <c r="AA32" s="17">
        <v>0.0</v>
      </c>
      <c r="AB32" s="17">
        <v>0.0</v>
      </c>
      <c r="AC32" s="17">
        <v>80000.0</v>
      </c>
      <c r="AD32" s="17">
        <v>0.0</v>
      </c>
      <c r="AE32" s="17">
        <v>132009.0</v>
      </c>
      <c r="AF32" s="17">
        <v>0.0</v>
      </c>
      <c r="AG32" s="17">
        <v>0.0</v>
      </c>
      <c r="AH32" s="19">
        <f t="shared" si="5"/>
        <v>372009</v>
      </c>
    </row>
    <row r="33">
      <c r="A33" s="7"/>
      <c r="B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7"/>
      <c r="AH33" s="7"/>
    </row>
    <row r="34">
      <c r="A34" s="31" t="s">
        <v>32</v>
      </c>
      <c r="B34" s="32">
        <f t="shared" ref="B34:B63" si="7">AH34/$AH$10</f>
        <v>0.1750201696</v>
      </c>
      <c r="C34" s="33">
        <f t="shared" ref="C34:AH34" si="6">sum(C35+C55+C65)</f>
        <v>0</v>
      </c>
      <c r="D34" s="33">
        <f t="shared" si="6"/>
        <v>9000</v>
      </c>
      <c r="E34" s="33">
        <f t="shared" si="6"/>
        <v>58245</v>
      </c>
      <c r="F34" s="33">
        <f t="shared" si="6"/>
        <v>63141</v>
      </c>
      <c r="G34" s="33">
        <f t="shared" si="6"/>
        <v>0</v>
      </c>
      <c r="H34" s="33">
        <f t="shared" si="6"/>
        <v>328377</v>
      </c>
      <c r="I34" s="33">
        <f t="shared" si="6"/>
        <v>0</v>
      </c>
      <c r="J34" s="33">
        <f t="shared" si="6"/>
        <v>887198</v>
      </c>
      <c r="K34" s="33">
        <f t="shared" si="6"/>
        <v>414800</v>
      </c>
      <c r="L34" s="33">
        <f t="shared" si="6"/>
        <v>0</v>
      </c>
      <c r="M34" s="33">
        <f t="shared" si="6"/>
        <v>1877859</v>
      </c>
      <c r="N34" s="33">
        <f t="shared" si="6"/>
        <v>0</v>
      </c>
      <c r="O34" s="33">
        <f t="shared" si="6"/>
        <v>0</v>
      </c>
      <c r="P34" s="33">
        <f t="shared" si="6"/>
        <v>0</v>
      </c>
      <c r="Q34" s="33">
        <f t="shared" si="6"/>
        <v>100000</v>
      </c>
      <c r="R34" s="33">
        <f t="shared" si="6"/>
        <v>0</v>
      </c>
      <c r="S34" s="33">
        <f t="shared" si="6"/>
        <v>872979</v>
      </c>
      <c r="T34" s="33">
        <f t="shared" si="6"/>
        <v>28029</v>
      </c>
      <c r="U34" s="33">
        <f t="shared" si="6"/>
        <v>0</v>
      </c>
      <c r="V34" s="33">
        <f t="shared" si="6"/>
        <v>0</v>
      </c>
      <c r="W34" s="33">
        <f t="shared" si="6"/>
        <v>73200</v>
      </c>
      <c r="X34" s="33">
        <f t="shared" si="6"/>
        <v>0</v>
      </c>
      <c r="Y34" s="33">
        <f t="shared" si="6"/>
        <v>0</v>
      </c>
      <c r="Z34" s="33">
        <f t="shared" si="6"/>
        <v>0</v>
      </c>
      <c r="AA34" s="33">
        <f t="shared" si="6"/>
        <v>0</v>
      </c>
      <c r="AB34" s="33">
        <f t="shared" si="6"/>
        <v>0</v>
      </c>
      <c r="AC34" s="33">
        <f t="shared" si="6"/>
        <v>229541</v>
      </c>
      <c r="AD34" s="33">
        <f t="shared" si="6"/>
        <v>365870</v>
      </c>
      <c r="AE34" s="33">
        <f t="shared" si="6"/>
        <v>0</v>
      </c>
      <c r="AF34" s="33">
        <f t="shared" si="6"/>
        <v>0</v>
      </c>
      <c r="AG34" s="33">
        <f t="shared" si="6"/>
        <v>600000</v>
      </c>
      <c r="AH34" s="34">
        <f t="shared" si="6"/>
        <v>5908239</v>
      </c>
    </row>
    <row r="35">
      <c r="A35" s="35" t="s">
        <v>33</v>
      </c>
      <c r="B35" s="36">
        <f t="shared" si="7"/>
        <v>0.1313649495</v>
      </c>
      <c r="C35" s="37">
        <f t="shared" ref="C35:AH35" si="8">sum(C36:C54)</f>
        <v>0</v>
      </c>
      <c r="D35" s="37">
        <f t="shared" si="8"/>
        <v>6000</v>
      </c>
      <c r="E35" s="37">
        <f t="shared" si="8"/>
        <v>0</v>
      </c>
      <c r="F35" s="37">
        <f t="shared" si="8"/>
        <v>63141</v>
      </c>
      <c r="G35" s="37">
        <f t="shared" si="8"/>
        <v>0</v>
      </c>
      <c r="H35" s="37">
        <f t="shared" si="8"/>
        <v>212572</v>
      </c>
      <c r="I35" s="37">
        <f t="shared" si="8"/>
        <v>0</v>
      </c>
      <c r="J35" s="37">
        <f t="shared" si="8"/>
        <v>887198</v>
      </c>
      <c r="K35" s="37">
        <f t="shared" si="8"/>
        <v>414800</v>
      </c>
      <c r="L35" s="37">
        <f t="shared" si="8"/>
        <v>0</v>
      </c>
      <c r="M35" s="37">
        <f t="shared" si="8"/>
        <v>1877859</v>
      </c>
      <c r="N35" s="37">
        <f t="shared" si="8"/>
        <v>0</v>
      </c>
      <c r="O35" s="37">
        <f t="shared" si="8"/>
        <v>0</v>
      </c>
      <c r="P35" s="37">
        <f t="shared" si="8"/>
        <v>0</v>
      </c>
      <c r="Q35" s="37">
        <f t="shared" si="8"/>
        <v>100000</v>
      </c>
      <c r="R35" s="37">
        <f t="shared" si="8"/>
        <v>0</v>
      </c>
      <c r="S35" s="37">
        <f t="shared" si="8"/>
        <v>872979</v>
      </c>
      <c r="T35" s="37">
        <f t="shared" si="8"/>
        <v>0</v>
      </c>
      <c r="U35" s="37">
        <f t="shared" si="8"/>
        <v>0</v>
      </c>
      <c r="V35" s="37">
        <f t="shared" si="8"/>
        <v>0</v>
      </c>
      <c r="W35" s="37">
        <f t="shared" si="8"/>
        <v>0</v>
      </c>
      <c r="X35" s="37">
        <f t="shared" si="8"/>
        <v>0</v>
      </c>
      <c r="Y35" s="37">
        <f t="shared" si="8"/>
        <v>0</v>
      </c>
      <c r="Z35" s="37">
        <f t="shared" si="8"/>
        <v>0</v>
      </c>
      <c r="AA35" s="37">
        <f t="shared" si="8"/>
        <v>0</v>
      </c>
      <c r="AB35" s="37">
        <f t="shared" si="8"/>
        <v>0</v>
      </c>
      <c r="AC35" s="37">
        <f t="shared" si="8"/>
        <v>0</v>
      </c>
      <c r="AD35" s="37">
        <f t="shared" si="8"/>
        <v>0</v>
      </c>
      <c r="AE35" s="37">
        <f t="shared" si="8"/>
        <v>0</v>
      </c>
      <c r="AF35" s="37">
        <f t="shared" si="8"/>
        <v>0</v>
      </c>
      <c r="AG35" s="37">
        <f t="shared" si="8"/>
        <v>0</v>
      </c>
      <c r="AH35" s="38">
        <f t="shared" si="8"/>
        <v>4434549</v>
      </c>
    </row>
    <row r="36">
      <c r="A36" s="16" t="s">
        <v>34</v>
      </c>
      <c r="B36" s="27">
        <f t="shared" si="7"/>
        <v>0.03775042417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17">
        <v>887198.0</v>
      </c>
      <c r="K36" s="20">
        <v>0.0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20">
        <v>0.0</v>
      </c>
      <c r="R36" s="20">
        <v>0.0</v>
      </c>
      <c r="S36" s="20">
        <f>142763+244398</f>
        <v>387161</v>
      </c>
      <c r="T36" s="20">
        <v>0.0</v>
      </c>
      <c r="U36" s="20">
        <v>0.0</v>
      </c>
      <c r="V36" s="20">
        <v>0.0</v>
      </c>
      <c r="W36" s="20">
        <v>0.0</v>
      </c>
      <c r="X36" s="20">
        <v>0.0</v>
      </c>
      <c r="Y36" s="20">
        <v>0.0</v>
      </c>
      <c r="Z36" s="20">
        <v>0.0</v>
      </c>
      <c r="AA36" s="20">
        <v>0.0</v>
      </c>
      <c r="AB36" s="20">
        <v>0.0</v>
      </c>
      <c r="AC36" s="20">
        <v>0.0</v>
      </c>
      <c r="AD36" s="20">
        <v>0.0</v>
      </c>
      <c r="AE36" s="20">
        <v>0.0</v>
      </c>
      <c r="AF36" s="20">
        <v>0.0</v>
      </c>
      <c r="AG36" s="20">
        <v>0.0</v>
      </c>
      <c r="AH36" s="19">
        <f t="shared" ref="AH36:AH54" si="9">SUM(C36:AG36)</f>
        <v>1274359</v>
      </c>
    </row>
    <row r="37">
      <c r="A37" s="16" t="s">
        <v>35</v>
      </c>
      <c r="B37" s="27">
        <f t="shared" si="7"/>
        <v>0.002242170068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17">
        <v>75690.0</v>
      </c>
      <c r="T37" s="20">
        <v>0.0</v>
      </c>
      <c r="U37" s="20">
        <v>0.0</v>
      </c>
      <c r="V37" s="20">
        <v>0.0</v>
      </c>
      <c r="W37" s="20">
        <v>0.0</v>
      </c>
      <c r="X37" s="20">
        <v>0.0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20">
        <v>0.0</v>
      </c>
      <c r="AF37" s="20">
        <v>0.0</v>
      </c>
      <c r="AG37" s="20">
        <v>0.0</v>
      </c>
      <c r="AH37" s="19">
        <f t="shared" si="9"/>
        <v>75690</v>
      </c>
    </row>
    <row r="38">
      <c r="A38" s="16" t="s">
        <v>36</v>
      </c>
      <c r="B38" s="27">
        <f t="shared" si="7"/>
        <v>0.01032609815</v>
      </c>
      <c r="C38" s="20">
        <v>0.0</v>
      </c>
      <c r="D38" s="20">
        <v>0.0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20">
        <v>0.0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0.0</v>
      </c>
      <c r="R38" s="20">
        <v>0.0</v>
      </c>
      <c r="S38" s="17">
        <v>348583.0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0.0</v>
      </c>
      <c r="Z38" s="20">
        <v>0.0</v>
      </c>
      <c r="AA38" s="20">
        <v>0.0</v>
      </c>
      <c r="AB38" s="20">
        <v>0.0</v>
      </c>
      <c r="AC38" s="20">
        <v>0.0</v>
      </c>
      <c r="AD38" s="20">
        <v>0.0</v>
      </c>
      <c r="AE38" s="20">
        <v>0.0</v>
      </c>
      <c r="AF38" s="20">
        <v>0.0</v>
      </c>
      <c r="AG38" s="20">
        <v>0.0</v>
      </c>
      <c r="AH38" s="19">
        <f t="shared" si="9"/>
        <v>348583</v>
      </c>
    </row>
    <row r="39">
      <c r="A39" s="16" t="s">
        <v>37</v>
      </c>
      <c r="B39" s="27">
        <f t="shared" si="7"/>
        <v>0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v>0.0</v>
      </c>
      <c r="I39" s="20">
        <v>0.0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  <c r="V39" s="20">
        <v>0.0</v>
      </c>
      <c r="W39" s="20">
        <v>0.0</v>
      </c>
      <c r="X39" s="20">
        <v>0.0</v>
      </c>
      <c r="Y39" s="20">
        <v>0.0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>
        <v>0.0</v>
      </c>
      <c r="AH39" s="19">
        <f t="shared" si="9"/>
        <v>0</v>
      </c>
    </row>
    <row r="40">
      <c r="A40" s="16" t="s">
        <v>38</v>
      </c>
      <c r="B40" s="27">
        <f t="shared" si="7"/>
        <v>0.006297034953</v>
      </c>
      <c r="C40" s="20">
        <v>0.0</v>
      </c>
      <c r="D40" s="20">
        <v>0.0</v>
      </c>
      <c r="E40" s="20">
        <v>0.0</v>
      </c>
      <c r="F40" s="20">
        <v>0.0</v>
      </c>
      <c r="G40" s="20">
        <v>0.0</v>
      </c>
      <c r="H40" s="20">
        <f>105936+106636</f>
        <v>212572</v>
      </c>
      <c r="I40" s="20">
        <v>0.0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20">
        <v>0.0</v>
      </c>
      <c r="P40" s="20">
        <v>0.0</v>
      </c>
      <c r="Q40" s="20">
        <v>0.0</v>
      </c>
      <c r="R40" s="20">
        <v>0.0</v>
      </c>
      <c r="S40" s="20">
        <v>0.0</v>
      </c>
      <c r="T40" s="20">
        <v>0.0</v>
      </c>
      <c r="U40" s="20">
        <v>0.0</v>
      </c>
      <c r="V40" s="20">
        <v>0.0</v>
      </c>
      <c r="W40" s="20">
        <v>0.0</v>
      </c>
      <c r="X40" s="20">
        <v>0.0</v>
      </c>
      <c r="Y40" s="20">
        <v>0.0</v>
      </c>
      <c r="Z40" s="20">
        <v>0.0</v>
      </c>
      <c r="AA40" s="20">
        <v>0.0</v>
      </c>
      <c r="AB40" s="20">
        <v>0.0</v>
      </c>
      <c r="AC40" s="20">
        <v>0.0</v>
      </c>
      <c r="AD40" s="20">
        <v>0.0</v>
      </c>
      <c r="AE40" s="20">
        <v>0.0</v>
      </c>
      <c r="AF40" s="20">
        <v>0.0</v>
      </c>
      <c r="AG40" s="20">
        <v>0.0</v>
      </c>
      <c r="AH40" s="19">
        <f t="shared" si="9"/>
        <v>212572</v>
      </c>
    </row>
    <row r="41">
      <c r="A41" s="16" t="s">
        <v>39</v>
      </c>
      <c r="B41" s="27">
        <f t="shared" si="7"/>
        <v>0.002899950307</v>
      </c>
      <c r="C41" s="20">
        <v>0.0</v>
      </c>
      <c r="D41" s="20">
        <v>0.0</v>
      </c>
      <c r="E41" s="20">
        <v>0.0</v>
      </c>
      <c r="F41" s="17">
        <v>48830.0</v>
      </c>
      <c r="G41" s="20">
        <v>0.0</v>
      </c>
      <c r="H41" s="20">
        <v>0.0</v>
      </c>
      <c r="I41" s="20">
        <v>0.0</v>
      </c>
      <c r="J41" s="20">
        <v>0.0</v>
      </c>
      <c r="K41" s="20">
        <v>0.0</v>
      </c>
      <c r="L41" s="20">
        <v>0.0</v>
      </c>
      <c r="M41" s="20">
        <v>0.0</v>
      </c>
      <c r="N41" s="20">
        <v>0.0</v>
      </c>
      <c r="O41" s="20">
        <v>0.0</v>
      </c>
      <c r="P41" s="20">
        <v>0.0</v>
      </c>
      <c r="Q41" s="20">
        <v>0.0</v>
      </c>
      <c r="R41" s="20">
        <v>0.0</v>
      </c>
      <c r="S41" s="17">
        <v>49065.0</v>
      </c>
      <c r="T41" s="20">
        <v>0.0</v>
      </c>
      <c r="U41" s="20">
        <v>0.0</v>
      </c>
      <c r="V41" s="20">
        <v>0.0</v>
      </c>
      <c r="W41" s="20">
        <v>0.0</v>
      </c>
      <c r="X41" s="20">
        <v>0.0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20">
        <v>0.0</v>
      </c>
      <c r="AE41" s="20">
        <v>0.0</v>
      </c>
      <c r="AF41" s="20">
        <v>0.0</v>
      </c>
      <c r="AG41" s="20">
        <v>0.0</v>
      </c>
      <c r="AH41" s="19">
        <f t="shared" si="9"/>
        <v>97895</v>
      </c>
    </row>
    <row r="42">
      <c r="A42" s="16" t="s">
        <v>40</v>
      </c>
      <c r="B42" s="27">
        <f t="shared" si="7"/>
        <v>0.0007936316327</v>
      </c>
      <c r="C42" s="20">
        <v>0.0</v>
      </c>
      <c r="D42" s="20">
        <v>0.0</v>
      </c>
      <c r="E42" s="20">
        <v>0.0</v>
      </c>
      <c r="F42" s="17">
        <v>14311.0</v>
      </c>
      <c r="G42" s="20">
        <v>0.0</v>
      </c>
      <c r="H42" s="20">
        <v>0.0</v>
      </c>
      <c r="I42" s="20">
        <v>0.0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17">
        <v>12480.0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0.0</v>
      </c>
      <c r="AF42" s="20">
        <v>0.0</v>
      </c>
      <c r="AG42" s="20">
        <v>0.0</v>
      </c>
      <c r="AH42" s="19">
        <f t="shared" si="9"/>
        <v>26791</v>
      </c>
    </row>
    <row r="43">
      <c r="A43" s="16" t="s">
        <v>41</v>
      </c>
      <c r="B43" s="27">
        <f t="shared" si="7"/>
        <v>0</v>
      </c>
      <c r="C43" s="20">
        <v>0.0</v>
      </c>
      <c r="D43" s="20">
        <v>0.0</v>
      </c>
      <c r="E43" s="20">
        <v>0.0</v>
      </c>
      <c r="F43" s="20">
        <v>0.0</v>
      </c>
      <c r="G43" s="20">
        <v>0.0</v>
      </c>
      <c r="H43" s="20">
        <v>0.0</v>
      </c>
      <c r="I43" s="20">
        <v>0.0</v>
      </c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20">
        <v>0.0</v>
      </c>
      <c r="AD43" s="20">
        <v>0.0</v>
      </c>
      <c r="AE43" s="20">
        <v>0.0</v>
      </c>
      <c r="AF43" s="20">
        <v>0.0</v>
      </c>
      <c r="AG43" s="20">
        <v>0.0</v>
      </c>
      <c r="AH43" s="19">
        <f t="shared" si="9"/>
        <v>0</v>
      </c>
    </row>
    <row r="44">
      <c r="A44" s="16" t="s">
        <v>42</v>
      </c>
      <c r="B44" s="27">
        <f t="shared" si="7"/>
        <v>0.05562794611</v>
      </c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20">
        <v>0.0</v>
      </c>
      <c r="J44" s="20">
        <v>0.0</v>
      </c>
      <c r="K44" s="20">
        <v>0.0</v>
      </c>
      <c r="L44" s="20">
        <v>0.0</v>
      </c>
      <c r="M44" s="17">
        <v>1877859.0</v>
      </c>
      <c r="N44" s="20">
        <v>0.0</v>
      </c>
      <c r="O44" s="20">
        <v>0.0</v>
      </c>
      <c r="P44" s="20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20">
        <v>0.0</v>
      </c>
      <c r="W44" s="20">
        <v>0.0</v>
      </c>
      <c r="X44" s="20">
        <v>0.0</v>
      </c>
      <c r="Y44" s="20">
        <v>0.0</v>
      </c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20">
        <v>0.0</v>
      </c>
      <c r="AF44" s="20">
        <v>0.0</v>
      </c>
      <c r="AG44" s="20">
        <v>0.0</v>
      </c>
      <c r="AH44" s="19">
        <f t="shared" si="9"/>
        <v>1877859</v>
      </c>
    </row>
    <row r="45">
      <c r="A45" s="16" t="s">
        <v>43</v>
      </c>
      <c r="B45" s="27">
        <f t="shared" si="7"/>
        <v>0.002962306867</v>
      </c>
      <c r="C45" s="20">
        <v>0.0</v>
      </c>
      <c r="D45" s="20">
        <v>0.0</v>
      </c>
      <c r="E45" s="20">
        <v>0.0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0">
        <v>0.0</v>
      </c>
      <c r="M45" s="20">
        <v>0.0</v>
      </c>
      <c r="N45" s="20">
        <v>0.0</v>
      </c>
      <c r="O45" s="20">
        <v>0.0</v>
      </c>
      <c r="P45" s="20">
        <v>0.0</v>
      </c>
      <c r="Q45" s="17">
        <v>100000.0</v>
      </c>
      <c r="R45" s="20">
        <v>0.0</v>
      </c>
      <c r="S45" s="20">
        <v>0.0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20">
        <v>0.0</v>
      </c>
      <c r="AA45" s="20">
        <v>0.0</v>
      </c>
      <c r="AB45" s="20">
        <v>0.0</v>
      </c>
      <c r="AC45" s="20">
        <v>0.0</v>
      </c>
      <c r="AD45" s="20">
        <v>0.0</v>
      </c>
      <c r="AE45" s="20">
        <v>0.0</v>
      </c>
      <c r="AF45" s="20">
        <v>0.0</v>
      </c>
      <c r="AG45" s="20">
        <v>0.0</v>
      </c>
      <c r="AH45" s="19">
        <f t="shared" si="9"/>
        <v>100000</v>
      </c>
    </row>
    <row r="46">
      <c r="A46" s="28" t="s">
        <v>44</v>
      </c>
      <c r="B46" s="27">
        <f t="shared" si="7"/>
        <v>0</v>
      </c>
      <c r="C46" s="20">
        <v>0.0</v>
      </c>
      <c r="D46" s="20">
        <v>0.0</v>
      </c>
      <c r="E46" s="20">
        <v>0.0</v>
      </c>
      <c r="F46" s="20">
        <v>0.0</v>
      </c>
      <c r="G46" s="20">
        <v>0.0</v>
      </c>
      <c r="H46" s="20">
        <v>0.0</v>
      </c>
      <c r="I46" s="20">
        <v>0.0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  <c r="V46" s="20">
        <v>0.0</v>
      </c>
      <c r="W46" s="20">
        <v>0.0</v>
      </c>
      <c r="X46" s="20">
        <v>0.0</v>
      </c>
      <c r="Y46" s="20">
        <v>0.0</v>
      </c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20">
        <v>0.0</v>
      </c>
      <c r="AF46" s="20">
        <v>0.0</v>
      </c>
      <c r="AG46" s="20">
        <v>0.0</v>
      </c>
      <c r="AH46" s="19">
        <f t="shared" si="9"/>
        <v>0</v>
      </c>
    </row>
    <row r="47">
      <c r="A47" s="16" t="s">
        <v>45</v>
      </c>
      <c r="B47" s="27">
        <f t="shared" si="7"/>
        <v>0</v>
      </c>
      <c r="C47" s="20">
        <v>0.0</v>
      </c>
      <c r="D47" s="20">
        <v>0.0</v>
      </c>
      <c r="E47" s="20">
        <v>0.0</v>
      </c>
      <c r="F47" s="20">
        <v>0.0</v>
      </c>
      <c r="G47" s="20">
        <v>0.0</v>
      </c>
      <c r="H47" s="20">
        <v>0.0</v>
      </c>
      <c r="I47" s="20">
        <v>0.0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0">
        <v>0.0</v>
      </c>
      <c r="Q47" s="20">
        <v>0.0</v>
      </c>
      <c r="R47" s="20">
        <v>0.0</v>
      </c>
      <c r="S47" s="20">
        <v>0.0</v>
      </c>
      <c r="T47" s="20">
        <v>0.0</v>
      </c>
      <c r="U47" s="20">
        <v>0.0</v>
      </c>
      <c r="V47" s="20">
        <v>0.0</v>
      </c>
      <c r="W47" s="20">
        <v>0.0</v>
      </c>
      <c r="X47" s="20">
        <v>0.0</v>
      </c>
      <c r="Y47" s="20">
        <v>0.0</v>
      </c>
      <c r="Z47" s="20">
        <v>0.0</v>
      </c>
      <c r="AA47" s="20">
        <v>0.0</v>
      </c>
      <c r="AB47" s="20">
        <v>0.0</v>
      </c>
      <c r="AC47" s="20">
        <v>0.0</v>
      </c>
      <c r="AD47" s="20">
        <v>0.0</v>
      </c>
      <c r="AE47" s="20">
        <v>0.0</v>
      </c>
      <c r="AF47" s="20">
        <v>0.0</v>
      </c>
      <c r="AG47" s="20">
        <v>0.0</v>
      </c>
      <c r="AH47" s="19">
        <f t="shared" si="9"/>
        <v>0</v>
      </c>
    </row>
    <row r="48">
      <c r="A48" s="16" t="s">
        <v>46</v>
      </c>
      <c r="B48" s="27">
        <f t="shared" si="7"/>
        <v>0.000177738412</v>
      </c>
      <c r="C48" s="20">
        <v>0.0</v>
      </c>
      <c r="D48" s="17">
        <v>6000.0</v>
      </c>
      <c r="E48" s="20">
        <v>0.0</v>
      </c>
      <c r="F48" s="20">
        <v>0.0</v>
      </c>
      <c r="G48" s="20">
        <v>0.0</v>
      </c>
      <c r="H48" s="20">
        <v>0.0</v>
      </c>
      <c r="I48" s="20">
        <v>0.0</v>
      </c>
      <c r="J48" s="20">
        <v>0.0</v>
      </c>
      <c r="K48" s="20">
        <v>0.0</v>
      </c>
      <c r="L48" s="20">
        <v>0.0</v>
      </c>
      <c r="M48" s="20">
        <v>0.0</v>
      </c>
      <c r="N48" s="20">
        <v>0.0</v>
      </c>
      <c r="O48" s="20">
        <v>0.0</v>
      </c>
      <c r="P48" s="20">
        <v>0.0</v>
      </c>
      <c r="Q48" s="20">
        <v>0.0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20">
        <v>0.0</v>
      </c>
      <c r="Z48" s="20">
        <v>0.0</v>
      </c>
      <c r="AA48" s="20">
        <v>0.0</v>
      </c>
      <c r="AB48" s="20">
        <v>0.0</v>
      </c>
      <c r="AC48" s="20">
        <v>0.0</v>
      </c>
      <c r="AD48" s="20">
        <v>0.0</v>
      </c>
      <c r="AE48" s="20">
        <v>0.0</v>
      </c>
      <c r="AF48" s="20">
        <v>0.0</v>
      </c>
      <c r="AG48" s="20">
        <v>0.0</v>
      </c>
      <c r="AH48" s="19">
        <f t="shared" si="9"/>
        <v>6000</v>
      </c>
    </row>
    <row r="49">
      <c r="A49" s="16" t="s">
        <v>47</v>
      </c>
      <c r="B49" s="27">
        <f t="shared" si="7"/>
        <v>0</v>
      </c>
      <c r="C49" s="20">
        <v>0.0</v>
      </c>
      <c r="D49" s="20">
        <v>0.0</v>
      </c>
      <c r="E49" s="20">
        <v>0.0</v>
      </c>
      <c r="F49" s="20">
        <v>0.0</v>
      </c>
      <c r="G49" s="20">
        <v>0.0</v>
      </c>
      <c r="H49" s="20">
        <v>0.0</v>
      </c>
      <c r="I49" s="20">
        <v>0.0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0">
        <v>0.0</v>
      </c>
      <c r="P49" s="20">
        <v>0.0</v>
      </c>
      <c r="Q49" s="17">
        <v>0.0</v>
      </c>
      <c r="R49" s="20">
        <v>0.0</v>
      </c>
      <c r="S49" s="20">
        <v>0.0</v>
      </c>
      <c r="T49" s="20">
        <v>0.0</v>
      </c>
      <c r="U49" s="20">
        <v>0.0</v>
      </c>
      <c r="V49" s="20">
        <v>0.0</v>
      </c>
      <c r="W49" s="20">
        <v>0.0</v>
      </c>
      <c r="X49" s="20">
        <v>0.0</v>
      </c>
      <c r="Y49" s="20">
        <v>0.0</v>
      </c>
      <c r="Z49" s="20">
        <v>0.0</v>
      </c>
      <c r="AA49" s="20">
        <v>0.0</v>
      </c>
      <c r="AB49" s="20">
        <v>0.0</v>
      </c>
      <c r="AC49" s="20">
        <v>0.0</v>
      </c>
      <c r="AD49" s="20">
        <v>0.0</v>
      </c>
      <c r="AE49" s="20">
        <v>0.0</v>
      </c>
      <c r="AF49" s="20">
        <v>0.0</v>
      </c>
      <c r="AG49" s="20">
        <v>0.0</v>
      </c>
      <c r="AH49" s="19">
        <f t="shared" si="9"/>
        <v>0</v>
      </c>
    </row>
    <row r="50">
      <c r="A50" s="16" t="s">
        <v>48</v>
      </c>
      <c r="B50" s="27">
        <f t="shared" si="7"/>
        <v>0.004147229614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17">
        <v>140000.0</v>
      </c>
      <c r="L50" s="20">
        <v>0.0</v>
      </c>
      <c r="M50" s="20">
        <v>0.0</v>
      </c>
      <c r="N50" s="20">
        <v>0.0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20">
        <v>0.0</v>
      </c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20">
        <v>0.0</v>
      </c>
      <c r="AF50" s="20">
        <v>0.0</v>
      </c>
      <c r="AG50" s="20">
        <v>0.0</v>
      </c>
      <c r="AH50" s="19">
        <f t="shared" si="9"/>
        <v>140000</v>
      </c>
    </row>
    <row r="51">
      <c r="A51" s="16" t="s">
        <v>49</v>
      </c>
      <c r="B51" s="27">
        <f t="shared" si="7"/>
        <v>0.00814041927</v>
      </c>
      <c r="C51" s="20">
        <v>0.0</v>
      </c>
      <c r="D51" s="20">
        <v>0.0</v>
      </c>
      <c r="E51" s="20">
        <v>0.0</v>
      </c>
      <c r="F51" s="20">
        <v>0.0</v>
      </c>
      <c r="G51" s="20">
        <v>0.0</v>
      </c>
      <c r="H51" s="20">
        <v>0.0</v>
      </c>
      <c r="I51" s="20">
        <v>0.0</v>
      </c>
      <c r="J51" s="20">
        <v>0.0</v>
      </c>
      <c r="K51" s="20">
        <f>238000+28800+8000</f>
        <v>274800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  <c r="V51" s="20">
        <v>0.0</v>
      </c>
      <c r="W51" s="20">
        <v>0.0</v>
      </c>
      <c r="X51" s="20">
        <v>0.0</v>
      </c>
      <c r="Y51" s="20">
        <v>0.0</v>
      </c>
      <c r="Z51" s="20">
        <v>0.0</v>
      </c>
      <c r="AA51" s="20">
        <v>0.0</v>
      </c>
      <c r="AB51" s="20">
        <v>0.0</v>
      </c>
      <c r="AC51" s="20">
        <v>0.0</v>
      </c>
      <c r="AD51" s="20">
        <v>0.0</v>
      </c>
      <c r="AE51" s="20">
        <v>0.0</v>
      </c>
      <c r="AF51" s="20">
        <v>0.0</v>
      </c>
      <c r="AG51" s="20">
        <v>0.0</v>
      </c>
      <c r="AH51" s="19">
        <f t="shared" si="9"/>
        <v>274800</v>
      </c>
    </row>
    <row r="52">
      <c r="A52" s="16" t="s">
        <v>50</v>
      </c>
      <c r="B52" s="27">
        <f t="shared" si="7"/>
        <v>0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0">
        <v>0.0</v>
      </c>
      <c r="M52" s="20">
        <v>0.0</v>
      </c>
      <c r="N52" s="20">
        <v>0.0</v>
      </c>
      <c r="O52" s="20">
        <v>0.0</v>
      </c>
      <c r="P52" s="20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20">
        <v>0.0</v>
      </c>
      <c r="X52" s="20">
        <v>0.0</v>
      </c>
      <c r="Y52" s="20">
        <v>0.0</v>
      </c>
      <c r="Z52" s="20">
        <v>0.0</v>
      </c>
      <c r="AA52" s="20">
        <v>0.0</v>
      </c>
      <c r="AB52" s="20">
        <v>0.0</v>
      </c>
      <c r="AC52" s="20">
        <v>0.0</v>
      </c>
      <c r="AD52" s="20">
        <v>0.0</v>
      </c>
      <c r="AE52" s="20">
        <v>0.0</v>
      </c>
      <c r="AF52" s="20">
        <v>0.0</v>
      </c>
      <c r="AG52" s="20">
        <v>0.0</v>
      </c>
      <c r="AH52" s="19">
        <f t="shared" si="9"/>
        <v>0</v>
      </c>
    </row>
    <row r="53">
      <c r="A53" s="16" t="s">
        <v>51</v>
      </c>
      <c r="B53" s="27">
        <f t="shared" si="7"/>
        <v>0</v>
      </c>
      <c r="C53" s="20">
        <v>0.0</v>
      </c>
      <c r="D53" s="20">
        <v>0.0</v>
      </c>
      <c r="E53" s="20">
        <v>0.0</v>
      </c>
      <c r="F53" s="20">
        <v>0.0</v>
      </c>
      <c r="G53" s="20">
        <v>0.0</v>
      </c>
      <c r="H53" s="20">
        <v>0.0</v>
      </c>
      <c r="I53" s="20">
        <v>0.0</v>
      </c>
      <c r="J53" s="20">
        <v>0.0</v>
      </c>
      <c r="K53" s="20">
        <v>0.0</v>
      </c>
      <c r="L53" s="20">
        <v>0.0</v>
      </c>
      <c r="M53" s="20">
        <v>0.0</v>
      </c>
      <c r="N53" s="20">
        <v>0.0</v>
      </c>
      <c r="O53" s="20">
        <v>0.0</v>
      </c>
      <c r="P53" s="20">
        <v>0.0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  <c r="V53" s="20">
        <v>0.0</v>
      </c>
      <c r="W53" s="20">
        <v>0.0</v>
      </c>
      <c r="X53" s="20">
        <v>0.0</v>
      </c>
      <c r="Y53" s="20">
        <v>0.0</v>
      </c>
      <c r="Z53" s="20">
        <v>0.0</v>
      </c>
      <c r="AA53" s="20">
        <v>0.0</v>
      </c>
      <c r="AB53" s="20">
        <v>0.0</v>
      </c>
      <c r="AC53" s="20">
        <v>0.0</v>
      </c>
      <c r="AD53" s="20">
        <v>0.0</v>
      </c>
      <c r="AE53" s="20">
        <v>0.0</v>
      </c>
      <c r="AF53" s="20">
        <v>0.0</v>
      </c>
      <c r="AG53" s="20">
        <v>0.0</v>
      </c>
      <c r="AH53" s="19">
        <f t="shared" si="9"/>
        <v>0</v>
      </c>
    </row>
    <row r="54">
      <c r="A54" s="16" t="s">
        <v>52</v>
      </c>
      <c r="B54" s="27">
        <f t="shared" si="7"/>
        <v>0</v>
      </c>
      <c r="C54" s="20">
        <v>0.0</v>
      </c>
      <c r="D54" s="20">
        <v>0.0</v>
      </c>
      <c r="E54" s="20">
        <v>0.0</v>
      </c>
      <c r="F54" s="20">
        <v>0.0</v>
      </c>
      <c r="G54" s="20">
        <v>0.0</v>
      </c>
      <c r="H54" s="20">
        <v>0.0</v>
      </c>
      <c r="I54" s="20">
        <v>0.0</v>
      </c>
      <c r="J54" s="20">
        <v>0.0</v>
      </c>
      <c r="K54" s="20">
        <v>0.0</v>
      </c>
      <c r="L54" s="20">
        <v>0.0</v>
      </c>
      <c r="M54" s="20">
        <v>0.0</v>
      </c>
      <c r="N54" s="20">
        <v>0.0</v>
      </c>
      <c r="O54" s="20">
        <v>0.0</v>
      </c>
      <c r="P54" s="20">
        <v>0.0</v>
      </c>
      <c r="Q54" s="20">
        <v>0.0</v>
      </c>
      <c r="R54" s="20">
        <v>0.0</v>
      </c>
      <c r="S54" s="20">
        <v>0.0</v>
      </c>
      <c r="T54" s="20">
        <v>0.0</v>
      </c>
      <c r="U54" s="20">
        <v>0.0</v>
      </c>
      <c r="V54" s="20">
        <v>0.0</v>
      </c>
      <c r="W54" s="20">
        <v>0.0</v>
      </c>
      <c r="X54" s="20">
        <v>0.0</v>
      </c>
      <c r="Y54" s="20">
        <v>0.0</v>
      </c>
      <c r="Z54" s="20">
        <v>0.0</v>
      </c>
      <c r="AA54" s="20">
        <v>0.0</v>
      </c>
      <c r="AB54" s="20">
        <v>0.0</v>
      </c>
      <c r="AC54" s="20">
        <v>0.0</v>
      </c>
      <c r="AD54" s="20">
        <v>0.0</v>
      </c>
      <c r="AE54" s="20">
        <v>0.0</v>
      </c>
      <c r="AF54" s="20">
        <v>0.0</v>
      </c>
      <c r="AG54" s="20">
        <v>0.0</v>
      </c>
      <c r="AH54" s="19">
        <f t="shared" si="9"/>
        <v>0</v>
      </c>
    </row>
    <row r="55">
      <c r="A55" s="35" t="s">
        <v>53</v>
      </c>
      <c r="B55" s="36">
        <f t="shared" si="7"/>
        <v>0.01263569032</v>
      </c>
      <c r="C55" s="37">
        <f t="shared" ref="C55:AE55" si="10">sum(C56:C63)</f>
        <v>0</v>
      </c>
      <c r="D55" s="37">
        <f t="shared" si="10"/>
        <v>3000</v>
      </c>
      <c r="E55" s="37">
        <f t="shared" si="10"/>
        <v>0</v>
      </c>
      <c r="F55" s="37">
        <f t="shared" si="10"/>
        <v>0</v>
      </c>
      <c r="G55" s="37">
        <f t="shared" si="10"/>
        <v>0</v>
      </c>
      <c r="H55" s="37">
        <f t="shared" si="10"/>
        <v>4050</v>
      </c>
      <c r="I55" s="37">
        <f t="shared" si="10"/>
        <v>0</v>
      </c>
      <c r="J55" s="37">
        <f t="shared" si="10"/>
        <v>0</v>
      </c>
      <c r="K55" s="37">
        <f t="shared" si="10"/>
        <v>0</v>
      </c>
      <c r="L55" s="37">
        <f t="shared" si="10"/>
        <v>0</v>
      </c>
      <c r="M55" s="37">
        <f t="shared" si="10"/>
        <v>0</v>
      </c>
      <c r="N55" s="37">
        <f t="shared" si="10"/>
        <v>0</v>
      </c>
      <c r="O55" s="37">
        <f t="shared" si="10"/>
        <v>0</v>
      </c>
      <c r="P55" s="37">
        <f t="shared" si="10"/>
        <v>0</v>
      </c>
      <c r="Q55" s="37">
        <f t="shared" si="10"/>
        <v>0</v>
      </c>
      <c r="R55" s="37">
        <f t="shared" si="10"/>
        <v>0</v>
      </c>
      <c r="S55" s="37">
        <f t="shared" si="10"/>
        <v>0</v>
      </c>
      <c r="T55" s="37">
        <f t="shared" si="10"/>
        <v>28029</v>
      </c>
      <c r="U55" s="37">
        <f t="shared" si="10"/>
        <v>0</v>
      </c>
      <c r="V55" s="37">
        <f t="shared" si="10"/>
        <v>0</v>
      </c>
      <c r="W55" s="37">
        <f t="shared" si="10"/>
        <v>25600</v>
      </c>
      <c r="X55" s="37">
        <f t="shared" si="10"/>
        <v>0</v>
      </c>
      <c r="Y55" s="37">
        <f t="shared" si="10"/>
        <v>0</v>
      </c>
      <c r="Z55" s="37">
        <f t="shared" si="10"/>
        <v>0</v>
      </c>
      <c r="AA55" s="37">
        <f t="shared" si="10"/>
        <v>0</v>
      </c>
      <c r="AB55" s="37">
        <f t="shared" si="10"/>
        <v>0</v>
      </c>
      <c r="AC55" s="37">
        <f t="shared" si="10"/>
        <v>0</v>
      </c>
      <c r="AD55" s="37">
        <f t="shared" si="10"/>
        <v>365870</v>
      </c>
      <c r="AE55" s="37">
        <f t="shared" si="10"/>
        <v>0</v>
      </c>
      <c r="AF55" s="37">
        <f>SUM(AF56:AF63)</f>
        <v>0</v>
      </c>
      <c r="AG55" s="37">
        <f>sum(AG56:AG63)</f>
        <v>0</v>
      </c>
      <c r="AH55" s="38">
        <f>SUM(AH56:AH63)</f>
        <v>426549</v>
      </c>
    </row>
    <row r="56">
      <c r="A56" s="16" t="s">
        <v>54</v>
      </c>
      <c r="B56" s="27">
        <f t="shared" si="7"/>
        <v>0.0001199734281</v>
      </c>
      <c r="C56" s="20">
        <v>0.0</v>
      </c>
      <c r="D56" s="20">
        <v>0.0</v>
      </c>
      <c r="E56" s="20">
        <v>0.0</v>
      </c>
      <c r="F56" s="20">
        <v>0.0</v>
      </c>
      <c r="G56" s="20">
        <v>0.0</v>
      </c>
      <c r="H56" s="17">
        <v>4050.0</v>
      </c>
      <c r="I56" s="20">
        <v>0.0</v>
      </c>
      <c r="J56" s="20">
        <v>0.0</v>
      </c>
      <c r="K56" s="20">
        <v>0.0</v>
      </c>
      <c r="L56" s="20">
        <v>0.0</v>
      </c>
      <c r="M56" s="20">
        <v>0.0</v>
      </c>
      <c r="N56" s="20">
        <v>0.0</v>
      </c>
      <c r="O56" s="20">
        <v>0.0</v>
      </c>
      <c r="P56" s="20">
        <v>0.0</v>
      </c>
      <c r="Q56" s="20">
        <v>0.0</v>
      </c>
      <c r="R56" s="20">
        <v>0.0</v>
      </c>
      <c r="S56" s="20">
        <v>0.0</v>
      </c>
      <c r="T56" s="20">
        <v>0.0</v>
      </c>
      <c r="U56" s="20">
        <v>0.0</v>
      </c>
      <c r="V56" s="20">
        <v>0.0</v>
      </c>
      <c r="W56" s="20">
        <v>0.0</v>
      </c>
      <c r="X56" s="20">
        <v>0.0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20">
        <v>0.0</v>
      </c>
      <c r="AF56" s="20">
        <v>0.0</v>
      </c>
      <c r="AG56" s="20">
        <v>0.0</v>
      </c>
      <c r="AH56" s="19">
        <f t="shared" ref="AH56:AH63" si="11">SUM(C56:AG56)</f>
        <v>4050</v>
      </c>
    </row>
    <row r="57">
      <c r="A57" s="16" t="s">
        <v>55</v>
      </c>
      <c r="B57" s="27">
        <f t="shared" si="7"/>
        <v>0</v>
      </c>
      <c r="C57" s="20">
        <v>0.0</v>
      </c>
      <c r="D57" s="20">
        <v>0.0</v>
      </c>
      <c r="E57" s="20">
        <v>0.0</v>
      </c>
      <c r="F57" s="20">
        <v>0.0</v>
      </c>
      <c r="G57" s="20">
        <v>0.0</v>
      </c>
      <c r="H57" s="20">
        <v>0.0</v>
      </c>
      <c r="I57" s="20">
        <v>0.0</v>
      </c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  <c r="V57" s="20">
        <v>0.0</v>
      </c>
      <c r="W57" s="20">
        <v>0.0</v>
      </c>
      <c r="X57" s="20">
        <v>0.0</v>
      </c>
      <c r="Y57" s="20">
        <v>0.0</v>
      </c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19">
        <f t="shared" si="11"/>
        <v>0</v>
      </c>
    </row>
    <row r="58">
      <c r="A58" s="16" t="s">
        <v>56</v>
      </c>
      <c r="B58" s="27">
        <f t="shared" si="7"/>
        <v>0.01083819213</v>
      </c>
      <c r="C58" s="20">
        <v>0.0</v>
      </c>
      <c r="D58" s="20">
        <v>0.0</v>
      </c>
      <c r="E58" s="20">
        <v>0.0</v>
      </c>
      <c r="F58" s="20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0">
        <v>0.0</v>
      </c>
      <c r="M58" s="20">
        <v>0.0</v>
      </c>
      <c r="N58" s="20">
        <v>0.0</v>
      </c>
      <c r="O58" s="20">
        <v>0.0</v>
      </c>
      <c r="P58" s="20">
        <v>0.0</v>
      </c>
      <c r="Q58" s="20">
        <v>0.0</v>
      </c>
      <c r="R58" s="20">
        <v>0.0</v>
      </c>
      <c r="S58" s="20">
        <v>0.0</v>
      </c>
      <c r="T58" s="20">
        <v>0.0</v>
      </c>
      <c r="U58" s="20">
        <v>0.0</v>
      </c>
      <c r="V58" s="20">
        <v>0.0</v>
      </c>
      <c r="W58" s="20">
        <v>0.0</v>
      </c>
      <c r="X58" s="20">
        <v>0.0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17">
        <v>365870.0</v>
      </c>
      <c r="AE58" s="20">
        <v>0.0</v>
      </c>
      <c r="AF58" s="20">
        <v>0.0</v>
      </c>
      <c r="AG58" s="20">
        <v>0.0</v>
      </c>
      <c r="AH58" s="19">
        <f t="shared" si="11"/>
        <v>365870</v>
      </c>
    </row>
    <row r="59">
      <c r="A59" s="16" t="s">
        <v>57</v>
      </c>
      <c r="B59" s="27">
        <f t="shared" si="7"/>
        <v>0.0008303049917</v>
      </c>
      <c r="C59" s="20">
        <v>0.0</v>
      </c>
      <c r="D59" s="20">
        <v>0.0</v>
      </c>
      <c r="E59" s="20">
        <v>0.0</v>
      </c>
      <c r="F59" s="20">
        <v>0.0</v>
      </c>
      <c r="G59" s="20">
        <v>0.0</v>
      </c>
      <c r="H59" s="20">
        <v>0.0</v>
      </c>
      <c r="I59" s="20">
        <v>0.0</v>
      </c>
      <c r="J59" s="20">
        <v>0.0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0.0</v>
      </c>
      <c r="S59" s="20">
        <v>0.0</v>
      </c>
      <c r="T59" s="17">
        <v>28029.0</v>
      </c>
      <c r="U59" s="20">
        <v>0.0</v>
      </c>
      <c r="V59" s="20">
        <v>0.0</v>
      </c>
      <c r="W59" s="20">
        <v>0.0</v>
      </c>
      <c r="X59" s="20">
        <v>0.0</v>
      </c>
      <c r="Y59" s="20">
        <v>0.0</v>
      </c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20">
        <v>0.0</v>
      </c>
      <c r="AF59" s="20">
        <v>0.0</v>
      </c>
      <c r="AG59" s="20">
        <v>0.0</v>
      </c>
      <c r="AH59" s="19">
        <f t="shared" si="11"/>
        <v>28029</v>
      </c>
    </row>
    <row r="60">
      <c r="A60" s="16" t="s">
        <v>58</v>
      </c>
      <c r="B60" s="27">
        <f t="shared" si="7"/>
        <v>0</v>
      </c>
      <c r="C60" s="20">
        <v>0.0</v>
      </c>
      <c r="D60" s="20">
        <v>0.0</v>
      </c>
      <c r="E60" s="20">
        <v>0.0</v>
      </c>
      <c r="F60" s="20">
        <v>0.0</v>
      </c>
      <c r="G60" s="20">
        <v>0.0</v>
      </c>
      <c r="H60" s="20">
        <v>0.0</v>
      </c>
      <c r="I60" s="20">
        <v>0.0</v>
      </c>
      <c r="J60" s="20">
        <v>0.0</v>
      </c>
      <c r="K60" s="20">
        <v>0.0</v>
      </c>
      <c r="L60" s="20">
        <v>0.0</v>
      </c>
      <c r="M60" s="20">
        <v>0.0</v>
      </c>
      <c r="N60" s="20">
        <v>0.0</v>
      </c>
      <c r="O60" s="20">
        <v>0.0</v>
      </c>
      <c r="P60" s="20">
        <v>0.0</v>
      </c>
      <c r="Q60" s="20">
        <v>0.0</v>
      </c>
      <c r="R60" s="20">
        <v>0.0</v>
      </c>
      <c r="S60" s="20">
        <v>0.0</v>
      </c>
      <c r="T60" s="20">
        <v>0.0</v>
      </c>
      <c r="U60" s="20">
        <v>0.0</v>
      </c>
      <c r="V60" s="20">
        <v>0.0</v>
      </c>
      <c r="W60" s="20">
        <v>0.0</v>
      </c>
      <c r="X60" s="20">
        <v>0.0</v>
      </c>
      <c r="Y60" s="20">
        <v>0.0</v>
      </c>
      <c r="Z60" s="20">
        <v>0.0</v>
      </c>
      <c r="AA60" s="20">
        <v>0.0</v>
      </c>
      <c r="AB60" s="20">
        <v>0.0</v>
      </c>
      <c r="AC60" s="20">
        <v>0.0</v>
      </c>
      <c r="AD60" s="20">
        <v>0.0</v>
      </c>
      <c r="AE60" s="20">
        <v>0.0</v>
      </c>
      <c r="AF60" s="20">
        <v>0.0</v>
      </c>
      <c r="AG60" s="20">
        <v>0.0</v>
      </c>
      <c r="AH60" s="19">
        <f t="shared" si="11"/>
        <v>0</v>
      </c>
    </row>
    <row r="61">
      <c r="A61" s="16" t="s">
        <v>59</v>
      </c>
      <c r="B61" s="27">
        <f t="shared" si="7"/>
        <v>0.0008472197639</v>
      </c>
      <c r="C61" s="20">
        <v>0.0</v>
      </c>
      <c r="D61" s="17">
        <v>3000.0</v>
      </c>
      <c r="E61" s="20">
        <v>0.0</v>
      </c>
      <c r="F61" s="20">
        <v>0.0</v>
      </c>
      <c r="G61" s="20">
        <v>0.0</v>
      </c>
      <c r="H61" s="20">
        <v>0.0</v>
      </c>
      <c r="I61" s="20">
        <v>0.0</v>
      </c>
      <c r="J61" s="20">
        <v>0.0</v>
      </c>
      <c r="K61" s="20">
        <v>0.0</v>
      </c>
      <c r="L61" s="20">
        <v>0.0</v>
      </c>
      <c r="M61" s="20">
        <v>0.0</v>
      </c>
      <c r="N61" s="20">
        <v>0.0</v>
      </c>
      <c r="O61" s="20">
        <v>0.0</v>
      </c>
      <c r="P61" s="20">
        <v>0.0</v>
      </c>
      <c r="Q61" s="20">
        <v>0.0</v>
      </c>
      <c r="R61" s="20">
        <v>0.0</v>
      </c>
      <c r="S61" s="20">
        <v>0.0</v>
      </c>
      <c r="T61" s="20">
        <v>0.0</v>
      </c>
      <c r="U61" s="20">
        <v>0.0</v>
      </c>
      <c r="V61" s="20">
        <v>0.0</v>
      </c>
      <c r="W61" s="17">
        <v>25600.0</v>
      </c>
      <c r="X61" s="20">
        <v>0.0</v>
      </c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19">
        <f t="shared" si="11"/>
        <v>28600</v>
      </c>
    </row>
    <row r="62">
      <c r="A62" s="16" t="s">
        <v>60</v>
      </c>
      <c r="B62" s="27">
        <f t="shared" si="7"/>
        <v>0</v>
      </c>
      <c r="C62" s="20">
        <v>0.0</v>
      </c>
      <c r="D62" s="20">
        <v>0.0</v>
      </c>
      <c r="E62" s="20">
        <v>0.0</v>
      </c>
      <c r="F62" s="20">
        <v>0.0</v>
      </c>
      <c r="G62" s="20">
        <v>0.0</v>
      </c>
      <c r="H62" s="20">
        <v>0.0</v>
      </c>
      <c r="I62" s="20">
        <v>0.0</v>
      </c>
      <c r="J62" s="20">
        <v>0.0</v>
      </c>
      <c r="K62" s="20">
        <v>0.0</v>
      </c>
      <c r="L62" s="20">
        <v>0.0</v>
      </c>
      <c r="M62" s="20">
        <v>0.0</v>
      </c>
      <c r="N62" s="20">
        <v>0.0</v>
      </c>
      <c r="O62" s="20">
        <v>0.0</v>
      </c>
      <c r="P62" s="20">
        <v>0.0</v>
      </c>
      <c r="Q62" s="20">
        <v>0.0</v>
      </c>
      <c r="R62" s="20">
        <v>0.0</v>
      </c>
      <c r="S62" s="20">
        <v>0.0</v>
      </c>
      <c r="T62" s="20">
        <v>0.0</v>
      </c>
      <c r="U62" s="20">
        <v>0.0</v>
      </c>
      <c r="V62" s="20">
        <v>0.0</v>
      </c>
      <c r="W62" s="20">
        <v>0.0</v>
      </c>
      <c r="X62" s="20">
        <v>0.0</v>
      </c>
      <c r="Y62" s="20">
        <v>0.0</v>
      </c>
      <c r="Z62" s="20">
        <v>0.0</v>
      </c>
      <c r="AA62" s="20">
        <v>0.0</v>
      </c>
      <c r="AB62" s="20">
        <v>0.0</v>
      </c>
      <c r="AC62" s="20">
        <v>0.0</v>
      </c>
      <c r="AD62" s="20">
        <v>0.0</v>
      </c>
      <c r="AE62" s="20">
        <v>0.0</v>
      </c>
      <c r="AF62" s="20">
        <v>0.0</v>
      </c>
      <c r="AG62" s="20">
        <v>0.0</v>
      </c>
      <c r="AH62" s="19">
        <f t="shared" si="11"/>
        <v>0</v>
      </c>
    </row>
    <row r="63">
      <c r="A63" s="16" t="s">
        <v>61</v>
      </c>
      <c r="B63" s="27">
        <f t="shared" si="7"/>
        <v>0</v>
      </c>
      <c r="C63" s="20">
        <v>0.0</v>
      </c>
      <c r="D63" s="20">
        <v>0.0</v>
      </c>
      <c r="E63" s="20">
        <v>0.0</v>
      </c>
      <c r="F63" s="20">
        <v>0.0</v>
      </c>
      <c r="G63" s="20">
        <v>0.0</v>
      </c>
      <c r="H63" s="20">
        <v>0.0</v>
      </c>
      <c r="I63" s="20">
        <v>0.0</v>
      </c>
      <c r="J63" s="20">
        <v>0.0</v>
      </c>
      <c r="K63" s="20">
        <v>0.0</v>
      </c>
      <c r="L63" s="20">
        <v>0.0</v>
      </c>
      <c r="M63" s="20">
        <v>0.0</v>
      </c>
      <c r="N63" s="20">
        <v>0.0</v>
      </c>
      <c r="O63" s="20">
        <v>0.0</v>
      </c>
      <c r="P63" s="20">
        <v>0.0</v>
      </c>
      <c r="Q63" s="20">
        <v>0.0</v>
      </c>
      <c r="R63" s="20">
        <v>0.0</v>
      </c>
      <c r="S63" s="20">
        <v>0.0</v>
      </c>
      <c r="T63" s="20">
        <v>0.0</v>
      </c>
      <c r="U63" s="20">
        <v>0.0</v>
      </c>
      <c r="V63" s="20">
        <v>0.0</v>
      </c>
      <c r="W63" s="20">
        <v>0.0</v>
      </c>
      <c r="X63" s="20">
        <v>0.0</v>
      </c>
      <c r="Y63" s="20">
        <v>0.0</v>
      </c>
      <c r="Z63" s="20">
        <v>0.0</v>
      </c>
      <c r="AA63" s="20">
        <v>0.0</v>
      </c>
      <c r="AB63" s="20">
        <v>0.0</v>
      </c>
      <c r="AC63" s="20">
        <v>0.0</v>
      </c>
      <c r="AD63" s="20">
        <v>0.0</v>
      </c>
      <c r="AE63" s="20">
        <v>0.0</v>
      </c>
      <c r="AF63" s="20">
        <v>0.0</v>
      </c>
      <c r="AG63" s="20">
        <v>0.0</v>
      </c>
      <c r="AH63" s="19">
        <f t="shared" si="11"/>
        <v>0</v>
      </c>
    </row>
    <row r="64">
      <c r="A64" s="7"/>
      <c r="B64" s="8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 t="str">
        <f>IFERROR(__xludf.DUMMYFUNCTION("AI(""Introduce un valor adecuado para esta celda según el contexto de la tabla"")"),"$0")</f>
        <v>$0</v>
      </c>
      <c r="AD64" s="10"/>
      <c r="AE64" s="10"/>
      <c r="AF64" s="10"/>
      <c r="AG64" s="10"/>
      <c r="AH64" s="10"/>
    </row>
    <row r="65">
      <c r="A65" s="35" t="s">
        <v>62</v>
      </c>
      <c r="B65" s="36">
        <f t="shared" ref="B65:B76" si="14">AH65/$AH$10</f>
        <v>0.03101952975</v>
      </c>
      <c r="C65" s="37">
        <f t="shared" ref="C65:AB65" si="12">sum(C66:C75)</f>
        <v>0</v>
      </c>
      <c r="D65" s="37">
        <f t="shared" si="12"/>
        <v>0</v>
      </c>
      <c r="E65" s="37">
        <f t="shared" si="12"/>
        <v>58245</v>
      </c>
      <c r="F65" s="37">
        <f t="shared" si="12"/>
        <v>0</v>
      </c>
      <c r="G65" s="37">
        <f t="shared" si="12"/>
        <v>0</v>
      </c>
      <c r="H65" s="37">
        <f t="shared" si="12"/>
        <v>111755</v>
      </c>
      <c r="I65" s="37">
        <f t="shared" si="12"/>
        <v>0</v>
      </c>
      <c r="J65" s="37">
        <f t="shared" si="12"/>
        <v>0</v>
      </c>
      <c r="K65" s="37">
        <f t="shared" si="12"/>
        <v>0</v>
      </c>
      <c r="L65" s="37">
        <f t="shared" si="12"/>
        <v>0</v>
      </c>
      <c r="M65" s="37">
        <f t="shared" si="12"/>
        <v>0</v>
      </c>
      <c r="N65" s="37">
        <f t="shared" si="12"/>
        <v>0</v>
      </c>
      <c r="O65" s="37">
        <f t="shared" si="12"/>
        <v>0</v>
      </c>
      <c r="P65" s="37">
        <f t="shared" si="12"/>
        <v>0</v>
      </c>
      <c r="Q65" s="37">
        <f t="shared" si="12"/>
        <v>0</v>
      </c>
      <c r="R65" s="37">
        <f t="shared" si="12"/>
        <v>0</v>
      </c>
      <c r="S65" s="37">
        <f t="shared" si="12"/>
        <v>0</v>
      </c>
      <c r="T65" s="37">
        <f t="shared" si="12"/>
        <v>0</v>
      </c>
      <c r="U65" s="37">
        <f t="shared" si="12"/>
        <v>0</v>
      </c>
      <c r="V65" s="37">
        <f t="shared" si="12"/>
        <v>0</v>
      </c>
      <c r="W65" s="37">
        <f t="shared" si="12"/>
        <v>47600</v>
      </c>
      <c r="X65" s="37">
        <f t="shared" si="12"/>
        <v>0</v>
      </c>
      <c r="Y65" s="37">
        <f t="shared" si="12"/>
        <v>0</v>
      </c>
      <c r="Z65" s="37">
        <f t="shared" si="12"/>
        <v>0</v>
      </c>
      <c r="AA65" s="37">
        <f t="shared" si="12"/>
        <v>0</v>
      </c>
      <c r="AB65" s="37">
        <f t="shared" si="12"/>
        <v>0</v>
      </c>
      <c r="AC65" s="37">
        <f>SUM(AC66:AC76)</f>
        <v>229541</v>
      </c>
      <c r="AD65" s="37">
        <f t="shared" ref="AD65:AG65" si="13">sum(AD66:AD75)</f>
        <v>0</v>
      </c>
      <c r="AE65" s="37">
        <f t="shared" si="13"/>
        <v>0</v>
      </c>
      <c r="AF65" s="37">
        <f t="shared" si="13"/>
        <v>0</v>
      </c>
      <c r="AG65" s="37">
        <f t="shared" si="13"/>
        <v>600000</v>
      </c>
      <c r="AH65" s="38">
        <f>SUM(AH66:AH76)</f>
        <v>1047141</v>
      </c>
    </row>
    <row r="66">
      <c r="A66" s="16" t="s">
        <v>63</v>
      </c>
      <c r="B66" s="27">
        <f t="shared" si="14"/>
        <v>0.006622148132</v>
      </c>
      <c r="C66" s="20">
        <v>0.0</v>
      </c>
      <c r="D66" s="20">
        <v>0.0</v>
      </c>
      <c r="E66" s="20">
        <v>0.0</v>
      </c>
      <c r="F66" s="20">
        <v>0.0</v>
      </c>
      <c r="G66" s="20">
        <v>0.0</v>
      </c>
      <c r="H66" s="17">
        <v>111755.0</v>
      </c>
      <c r="I66" s="20">
        <v>0.0</v>
      </c>
      <c r="J66" s="20">
        <v>0.0</v>
      </c>
      <c r="K66" s="20">
        <v>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0">
        <v>0.0</v>
      </c>
      <c r="Y66" s="20">
        <v>0.0</v>
      </c>
      <c r="Z66" s="20">
        <v>0.0</v>
      </c>
      <c r="AA66" s="20">
        <v>0.0</v>
      </c>
      <c r="AB66" s="20">
        <v>0.0</v>
      </c>
      <c r="AC66" s="17">
        <v>111792.0</v>
      </c>
      <c r="AD66" s="20">
        <v>0.0</v>
      </c>
      <c r="AE66" s="20">
        <v>0.0</v>
      </c>
      <c r="AF66" s="20">
        <v>0.0</v>
      </c>
      <c r="AG66" s="20">
        <v>0.0</v>
      </c>
      <c r="AH66" s="19">
        <f t="shared" ref="AH66:AH76" si="15">SUM(C66:AG66)</f>
        <v>223547</v>
      </c>
    </row>
    <row r="67">
      <c r="A67" s="16" t="s">
        <v>64</v>
      </c>
      <c r="B67" s="27">
        <f t="shared" si="14"/>
        <v>0.001725395635</v>
      </c>
      <c r="C67" s="20">
        <v>0.0</v>
      </c>
      <c r="D67" s="20">
        <v>0.0</v>
      </c>
      <c r="E67" s="17">
        <v>58245.0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0.0</v>
      </c>
      <c r="M67" s="20">
        <v>0.0</v>
      </c>
      <c r="N67" s="20">
        <v>0.0</v>
      </c>
      <c r="O67" s="20">
        <v>0.0</v>
      </c>
      <c r="P67" s="20">
        <v>0.0</v>
      </c>
      <c r="Q67" s="20">
        <v>0.0</v>
      </c>
      <c r="R67" s="20">
        <v>0.0</v>
      </c>
      <c r="S67" s="20">
        <v>0.0</v>
      </c>
      <c r="T67" s="20">
        <v>0.0</v>
      </c>
      <c r="U67" s="20">
        <v>0.0</v>
      </c>
      <c r="V67" s="20">
        <v>0.0</v>
      </c>
      <c r="W67" s="20">
        <v>0.0</v>
      </c>
      <c r="X67" s="20">
        <v>0.0</v>
      </c>
      <c r="Y67" s="20">
        <v>0.0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0.0</v>
      </c>
      <c r="AF67" s="20">
        <v>0.0</v>
      </c>
      <c r="AG67" s="20">
        <v>0.0</v>
      </c>
      <c r="AH67" s="19">
        <f t="shared" si="15"/>
        <v>58245</v>
      </c>
    </row>
    <row r="68">
      <c r="A68" s="16" t="s">
        <v>65</v>
      </c>
      <c r="B68" s="27">
        <f t="shared" si="14"/>
        <v>0.001410058069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20">
        <v>0.0</v>
      </c>
      <c r="L68" s="20">
        <v>0.0</v>
      </c>
      <c r="M68" s="20">
        <v>0.0</v>
      </c>
      <c r="N68" s="20">
        <v>0.0</v>
      </c>
      <c r="O68" s="20">
        <v>0.0</v>
      </c>
      <c r="P68" s="20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0.0</v>
      </c>
      <c r="V68" s="17">
        <v>0.0</v>
      </c>
      <c r="W68" s="17">
        <v>47600.0</v>
      </c>
      <c r="X68" s="20">
        <v>0.0</v>
      </c>
      <c r="Y68" s="20">
        <v>0.0</v>
      </c>
      <c r="Z68" s="20">
        <v>0.0</v>
      </c>
      <c r="AA68" s="20">
        <v>0.0</v>
      </c>
      <c r="AB68" s="20">
        <v>0.0</v>
      </c>
      <c r="AC68" s="20">
        <v>0.0</v>
      </c>
      <c r="AD68" s="20">
        <v>0.0</v>
      </c>
      <c r="AE68" s="20">
        <v>0.0</v>
      </c>
      <c r="AF68" s="20">
        <v>0.0</v>
      </c>
      <c r="AG68" s="20">
        <v>0.0</v>
      </c>
      <c r="AH68" s="19">
        <f t="shared" si="15"/>
        <v>47600</v>
      </c>
    </row>
    <row r="69">
      <c r="A69" s="16" t="s">
        <v>66</v>
      </c>
      <c r="B69" s="27">
        <f t="shared" si="14"/>
        <v>0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v>0.0</v>
      </c>
      <c r="L69" s="20">
        <v>0.0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20">
        <v>0.0</v>
      </c>
      <c r="W69" s="20">
        <v>0.0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20">
        <v>0.0</v>
      </c>
      <c r="AF69" s="20">
        <v>0.0</v>
      </c>
      <c r="AG69" s="20">
        <v>0.0</v>
      </c>
      <c r="AH69" s="19">
        <f t="shared" si="15"/>
        <v>0</v>
      </c>
    </row>
    <row r="70">
      <c r="A70" s="16" t="s">
        <v>67</v>
      </c>
      <c r="B70" s="27">
        <f t="shared" si="14"/>
        <v>0.003177340722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20">
        <v>0.0</v>
      </c>
      <c r="AC70" s="17">
        <v>107259.0</v>
      </c>
      <c r="AD70" s="20">
        <v>0.0</v>
      </c>
      <c r="AE70" s="20">
        <v>0.0</v>
      </c>
      <c r="AF70" s="20">
        <v>0.0</v>
      </c>
      <c r="AG70" s="20">
        <v>0.0</v>
      </c>
      <c r="AH70" s="19">
        <f t="shared" si="15"/>
        <v>107259</v>
      </c>
    </row>
    <row r="71">
      <c r="A71" s="16" t="s">
        <v>68</v>
      </c>
      <c r="B71" s="27">
        <f t="shared" si="14"/>
        <v>0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0.0</v>
      </c>
      <c r="K71" s="20">
        <v>0.0</v>
      </c>
      <c r="L71" s="20">
        <v>0.0</v>
      </c>
      <c r="M71" s="20">
        <v>0.0</v>
      </c>
      <c r="N71" s="20">
        <v>0.0</v>
      </c>
      <c r="O71" s="20">
        <v>0.0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20">
        <v>0.0</v>
      </c>
      <c r="AF71" s="20">
        <v>0.0</v>
      </c>
      <c r="AG71" s="20">
        <v>0.0</v>
      </c>
      <c r="AH71" s="19">
        <f t="shared" si="15"/>
        <v>0</v>
      </c>
    </row>
    <row r="72">
      <c r="A72" s="16" t="s">
        <v>69</v>
      </c>
      <c r="B72" s="27">
        <f t="shared" si="14"/>
        <v>0</v>
      </c>
      <c r="C72" s="20">
        <v>0.0</v>
      </c>
      <c r="D72" s="20">
        <v>0.0</v>
      </c>
      <c r="E72" s="20">
        <v>0.0</v>
      </c>
      <c r="F72" s="20">
        <v>0.0</v>
      </c>
      <c r="G72" s="20">
        <v>0.0</v>
      </c>
      <c r="H72" s="20">
        <v>0.0</v>
      </c>
      <c r="I72" s="20">
        <v>0.0</v>
      </c>
      <c r="J72" s="20">
        <v>0.0</v>
      </c>
      <c r="K72" s="20">
        <v>0.0</v>
      </c>
      <c r="L72" s="20">
        <v>0.0</v>
      </c>
      <c r="M72" s="20">
        <v>0.0</v>
      </c>
      <c r="N72" s="20">
        <v>0.0</v>
      </c>
      <c r="O72" s="20">
        <v>0.0</v>
      </c>
      <c r="P72" s="20">
        <v>0.0</v>
      </c>
      <c r="Q72" s="20">
        <v>0.0</v>
      </c>
      <c r="R72" s="20">
        <v>0.0</v>
      </c>
      <c r="S72" s="20">
        <v>0.0</v>
      </c>
      <c r="T72" s="20">
        <v>0.0</v>
      </c>
      <c r="U72" s="20">
        <v>0.0</v>
      </c>
      <c r="V72" s="20">
        <v>0.0</v>
      </c>
      <c r="W72" s="20">
        <v>0.0</v>
      </c>
      <c r="X72" s="20">
        <v>0.0</v>
      </c>
      <c r="Y72" s="20">
        <v>0.0</v>
      </c>
      <c r="Z72" s="20">
        <v>0.0</v>
      </c>
      <c r="AA72" s="20">
        <v>0.0</v>
      </c>
      <c r="AB72" s="20">
        <v>0.0</v>
      </c>
      <c r="AC72" s="20">
        <v>0.0</v>
      </c>
      <c r="AD72" s="20">
        <v>0.0</v>
      </c>
      <c r="AE72" s="20">
        <v>0.0</v>
      </c>
      <c r="AF72" s="20">
        <v>0.0</v>
      </c>
      <c r="AG72" s="20">
        <v>0.0</v>
      </c>
      <c r="AH72" s="19">
        <f t="shared" si="15"/>
        <v>0</v>
      </c>
    </row>
    <row r="73">
      <c r="A73" s="16" t="s">
        <v>70</v>
      </c>
      <c r="B73" s="27">
        <f t="shared" si="14"/>
        <v>0</v>
      </c>
      <c r="C73" s="20">
        <v>0.0</v>
      </c>
      <c r="D73" s="20">
        <v>0.0</v>
      </c>
      <c r="E73" s="20">
        <v>0.0</v>
      </c>
      <c r="F73" s="20">
        <v>0.0</v>
      </c>
      <c r="G73" s="20">
        <v>0.0</v>
      </c>
      <c r="H73" s="20">
        <v>0.0</v>
      </c>
      <c r="I73" s="20">
        <v>0.0</v>
      </c>
      <c r="J73" s="20">
        <v>0.0</v>
      </c>
      <c r="K73" s="20">
        <v>0.0</v>
      </c>
      <c r="L73" s="20">
        <v>0.0</v>
      </c>
      <c r="M73" s="20">
        <v>0.0</v>
      </c>
      <c r="N73" s="20">
        <v>0.0</v>
      </c>
      <c r="O73" s="20">
        <v>0.0</v>
      </c>
      <c r="P73" s="20">
        <v>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  <c r="V73" s="20">
        <v>0.0</v>
      </c>
      <c r="W73" s="20">
        <v>0.0</v>
      </c>
      <c r="X73" s="20">
        <v>0.0</v>
      </c>
      <c r="Y73" s="20">
        <v>0.0</v>
      </c>
      <c r="Z73" s="20">
        <v>0.0</v>
      </c>
      <c r="AA73" s="20">
        <v>0.0</v>
      </c>
      <c r="AB73" s="20">
        <v>0.0</v>
      </c>
      <c r="AC73" s="20">
        <v>0.0</v>
      </c>
      <c r="AD73" s="20">
        <v>0.0</v>
      </c>
      <c r="AE73" s="20">
        <v>0.0</v>
      </c>
      <c r="AF73" s="20">
        <v>0.0</v>
      </c>
      <c r="AG73" s="20">
        <v>0.0</v>
      </c>
      <c r="AH73" s="19">
        <f t="shared" si="15"/>
        <v>0</v>
      </c>
    </row>
    <row r="74">
      <c r="A74" s="16" t="s">
        <v>71</v>
      </c>
      <c r="B74" s="27">
        <f t="shared" si="14"/>
        <v>0</v>
      </c>
      <c r="C74" s="20">
        <v>0.0</v>
      </c>
      <c r="D74" s="20">
        <v>0.0</v>
      </c>
      <c r="E74" s="20">
        <v>0.0</v>
      </c>
      <c r="F74" s="20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0">
        <v>0.0</v>
      </c>
      <c r="M74" s="20">
        <v>0.0</v>
      </c>
      <c r="N74" s="20">
        <v>0.0</v>
      </c>
      <c r="O74" s="20">
        <v>0.0</v>
      </c>
      <c r="P74" s="20">
        <v>0.0</v>
      </c>
      <c r="Q74" s="20">
        <v>0.0</v>
      </c>
      <c r="R74" s="20">
        <v>0.0</v>
      </c>
      <c r="S74" s="20">
        <v>0.0</v>
      </c>
      <c r="T74" s="20">
        <v>0.0</v>
      </c>
      <c r="U74" s="20">
        <v>0.0</v>
      </c>
      <c r="V74" s="20">
        <v>0.0</v>
      </c>
      <c r="W74" s="20">
        <v>0.0</v>
      </c>
      <c r="X74" s="20">
        <v>0.0</v>
      </c>
      <c r="Y74" s="20">
        <v>0.0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20">
        <v>0.0</v>
      </c>
      <c r="AF74" s="20">
        <v>0.0</v>
      </c>
      <c r="AG74" s="20">
        <v>0.0</v>
      </c>
      <c r="AH74" s="19">
        <f t="shared" si="15"/>
        <v>0</v>
      </c>
    </row>
    <row r="75">
      <c r="A75" s="7" t="s">
        <v>72</v>
      </c>
      <c r="B75" s="27">
        <f t="shared" si="14"/>
        <v>0.0177738412</v>
      </c>
      <c r="C75" s="20">
        <v>0.0</v>
      </c>
      <c r="D75" s="20">
        <v>0.0</v>
      </c>
      <c r="E75" s="20">
        <v>0.0</v>
      </c>
      <c r="F75" s="20">
        <v>0.0</v>
      </c>
      <c r="G75" s="20">
        <v>0.0</v>
      </c>
      <c r="H75" s="20">
        <v>0.0</v>
      </c>
      <c r="I75" s="20">
        <v>0.0</v>
      </c>
      <c r="J75" s="20">
        <v>0.0</v>
      </c>
      <c r="K75" s="20">
        <v>0.0</v>
      </c>
      <c r="L75" s="20">
        <v>0.0</v>
      </c>
      <c r="M75" s="20">
        <v>0.0</v>
      </c>
      <c r="N75" s="20">
        <v>0.0</v>
      </c>
      <c r="O75" s="20">
        <v>0.0</v>
      </c>
      <c r="P75" s="20">
        <v>0.0</v>
      </c>
      <c r="Q75" s="20">
        <v>0.0</v>
      </c>
      <c r="R75" s="20">
        <v>0.0</v>
      </c>
      <c r="S75" s="20">
        <v>0.0</v>
      </c>
      <c r="T75" s="20">
        <v>0.0</v>
      </c>
      <c r="U75" s="20">
        <v>0.0</v>
      </c>
      <c r="V75" s="20">
        <v>0.0</v>
      </c>
      <c r="W75" s="20">
        <v>0.0</v>
      </c>
      <c r="X75" s="20">
        <v>0.0</v>
      </c>
      <c r="Y75" s="20">
        <v>0.0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20">
        <v>0.0</v>
      </c>
      <c r="AF75" s="20">
        <v>0.0</v>
      </c>
      <c r="AG75" s="17">
        <v>600000.0</v>
      </c>
      <c r="AH75" s="19">
        <f t="shared" si="15"/>
        <v>600000</v>
      </c>
    </row>
    <row r="76">
      <c r="A76" s="39" t="s">
        <v>73</v>
      </c>
      <c r="B76" s="27">
        <f t="shared" si="14"/>
        <v>0.0003107459903</v>
      </c>
      <c r="C76" s="20">
        <v>0.0</v>
      </c>
      <c r="D76" s="20">
        <v>0.0</v>
      </c>
      <c r="E76" s="20">
        <v>0.0</v>
      </c>
      <c r="F76" s="20">
        <v>0.0</v>
      </c>
      <c r="G76" s="20">
        <v>0.0</v>
      </c>
      <c r="H76" s="20">
        <v>0.0</v>
      </c>
      <c r="I76" s="20">
        <v>0.0</v>
      </c>
      <c r="J76" s="20">
        <v>0.0</v>
      </c>
      <c r="K76" s="20">
        <v>0.0</v>
      </c>
      <c r="L76" s="20">
        <v>0.0</v>
      </c>
      <c r="M76" s="20">
        <v>0.0</v>
      </c>
      <c r="N76" s="20">
        <v>0.0</v>
      </c>
      <c r="O76" s="20">
        <v>0.0</v>
      </c>
      <c r="P76" s="20">
        <v>0.0</v>
      </c>
      <c r="Q76" s="20">
        <v>0.0</v>
      </c>
      <c r="R76" s="20">
        <v>0.0</v>
      </c>
      <c r="S76" s="20">
        <v>0.0</v>
      </c>
      <c r="T76" s="20">
        <v>0.0</v>
      </c>
      <c r="U76" s="20">
        <v>0.0</v>
      </c>
      <c r="V76" s="20">
        <v>0.0</v>
      </c>
      <c r="W76" s="20">
        <v>0.0</v>
      </c>
      <c r="X76" s="20">
        <v>0.0</v>
      </c>
      <c r="Y76" s="20">
        <v>0.0</v>
      </c>
      <c r="Z76" s="20">
        <v>0.0</v>
      </c>
      <c r="AA76" s="20">
        <v>0.0</v>
      </c>
      <c r="AB76" s="20">
        <v>0.0</v>
      </c>
      <c r="AC76" s="17">
        <v>10490.0</v>
      </c>
      <c r="AD76" s="20">
        <v>0.0</v>
      </c>
      <c r="AE76" s="20">
        <v>0.0</v>
      </c>
      <c r="AF76" s="20">
        <v>0.0</v>
      </c>
      <c r="AG76" s="20">
        <v>0.0</v>
      </c>
      <c r="AH76" s="19">
        <f t="shared" si="15"/>
        <v>10490</v>
      </c>
    </row>
    <row r="77">
      <c r="A77" s="7"/>
      <c r="B77" s="8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40" t="s">
        <v>74</v>
      </c>
      <c r="B78" s="32">
        <f t="shared" ref="B78:B82" si="17">AH78/$AH$10</f>
        <v>0.1784845282</v>
      </c>
      <c r="C78" s="41">
        <f t="shared" ref="C78:AG78" si="16">SUM(C79:C82)</f>
        <v>1088000</v>
      </c>
      <c r="D78" s="41">
        <f t="shared" si="16"/>
        <v>0</v>
      </c>
      <c r="E78" s="41">
        <f t="shared" si="16"/>
        <v>0</v>
      </c>
      <c r="F78" s="41">
        <f t="shared" si="16"/>
        <v>0</v>
      </c>
      <c r="G78" s="41">
        <f t="shared" si="16"/>
        <v>0</v>
      </c>
      <c r="H78" s="41">
        <f t="shared" si="16"/>
        <v>0</v>
      </c>
      <c r="I78" s="41">
        <f t="shared" si="16"/>
        <v>2358472</v>
      </c>
      <c r="J78" s="41">
        <f t="shared" si="16"/>
        <v>0</v>
      </c>
      <c r="K78" s="41">
        <f t="shared" si="16"/>
        <v>221624</v>
      </c>
      <c r="L78" s="41">
        <f t="shared" si="16"/>
        <v>227091</v>
      </c>
      <c r="M78" s="41">
        <f t="shared" si="16"/>
        <v>0</v>
      </c>
      <c r="N78" s="41">
        <f t="shared" si="16"/>
        <v>750000</v>
      </c>
      <c r="O78" s="41">
        <f t="shared" si="16"/>
        <v>365000</v>
      </c>
      <c r="P78" s="41">
        <f t="shared" si="16"/>
        <v>0</v>
      </c>
      <c r="Q78" s="41">
        <f t="shared" si="16"/>
        <v>0</v>
      </c>
      <c r="R78" s="41">
        <f t="shared" si="16"/>
        <v>0</v>
      </c>
      <c r="S78" s="41">
        <f t="shared" si="16"/>
        <v>0</v>
      </c>
      <c r="T78" s="41">
        <f t="shared" si="16"/>
        <v>0</v>
      </c>
      <c r="U78" s="41">
        <f t="shared" si="16"/>
        <v>0</v>
      </c>
      <c r="V78" s="41">
        <f t="shared" si="16"/>
        <v>0</v>
      </c>
      <c r="W78" s="41">
        <f t="shared" si="16"/>
        <v>0</v>
      </c>
      <c r="X78" s="41">
        <f t="shared" si="16"/>
        <v>0</v>
      </c>
      <c r="Y78" s="41">
        <f t="shared" si="16"/>
        <v>0</v>
      </c>
      <c r="Z78" s="41">
        <f t="shared" si="16"/>
        <v>560000</v>
      </c>
      <c r="AA78" s="41">
        <f t="shared" si="16"/>
        <v>0</v>
      </c>
      <c r="AB78" s="41">
        <f t="shared" si="16"/>
        <v>0</v>
      </c>
      <c r="AC78" s="41">
        <f t="shared" si="16"/>
        <v>0</v>
      </c>
      <c r="AD78" s="41">
        <f t="shared" si="16"/>
        <v>0</v>
      </c>
      <c r="AE78" s="41">
        <f t="shared" si="16"/>
        <v>0</v>
      </c>
      <c r="AF78" s="41">
        <f t="shared" si="16"/>
        <v>0</v>
      </c>
      <c r="AG78" s="41">
        <f t="shared" si="16"/>
        <v>455000</v>
      </c>
      <c r="AH78" s="34">
        <f>sum(AH79:AH82)</f>
        <v>6025187</v>
      </c>
    </row>
    <row r="79">
      <c r="A79" s="16" t="s">
        <v>75</v>
      </c>
      <c r="B79" s="27">
        <f t="shared" si="17"/>
        <v>0</v>
      </c>
      <c r="C79" s="20">
        <v>0.0</v>
      </c>
      <c r="D79" s="20">
        <v>0.0</v>
      </c>
      <c r="E79" s="20">
        <v>0.0</v>
      </c>
      <c r="F79" s="20">
        <v>0.0</v>
      </c>
      <c r="G79" s="20">
        <v>0.0</v>
      </c>
      <c r="H79" s="20">
        <v>0.0</v>
      </c>
      <c r="I79" s="20">
        <v>0.0</v>
      </c>
      <c r="J79" s="20">
        <v>0.0</v>
      </c>
      <c r="K79" s="20">
        <v>0.0</v>
      </c>
      <c r="L79" s="20">
        <v>0.0</v>
      </c>
      <c r="M79" s="20">
        <v>0.0</v>
      </c>
      <c r="N79" s="20">
        <v>0.0</v>
      </c>
      <c r="O79" s="20">
        <v>0.0</v>
      </c>
      <c r="P79" s="20">
        <v>0.0</v>
      </c>
      <c r="Q79" s="20">
        <v>0.0</v>
      </c>
      <c r="R79" s="20">
        <v>0.0</v>
      </c>
      <c r="S79" s="20">
        <v>0.0</v>
      </c>
      <c r="T79" s="20">
        <v>0.0</v>
      </c>
      <c r="U79" s="20">
        <v>0.0</v>
      </c>
      <c r="V79" s="20">
        <v>0.0</v>
      </c>
      <c r="W79" s="20">
        <v>0.0</v>
      </c>
      <c r="X79" s="20">
        <v>0.0</v>
      </c>
      <c r="Y79" s="20">
        <v>0.0</v>
      </c>
      <c r="Z79" s="20">
        <v>0.0</v>
      </c>
      <c r="AA79" s="20">
        <v>0.0</v>
      </c>
      <c r="AB79" s="20">
        <v>0.0</v>
      </c>
      <c r="AC79" s="20">
        <v>0.0</v>
      </c>
      <c r="AD79" s="20">
        <v>0.0</v>
      </c>
      <c r="AE79" s="20">
        <v>0.0</v>
      </c>
      <c r="AF79" s="20">
        <v>0.0</v>
      </c>
      <c r="AG79" s="20">
        <v>0.0</v>
      </c>
      <c r="AH79" s="19">
        <f t="shared" ref="AH79:AH82" si="18">SUM(C79:AG79)</f>
        <v>0</v>
      </c>
    </row>
    <row r="80">
      <c r="A80" s="16" t="s">
        <v>76</v>
      </c>
      <c r="B80" s="27">
        <f t="shared" si="17"/>
        <v>0</v>
      </c>
      <c r="C80" s="20">
        <v>0.0</v>
      </c>
      <c r="D80" s="20">
        <v>0.0</v>
      </c>
      <c r="E80" s="20">
        <v>0.0</v>
      </c>
      <c r="F80" s="20">
        <v>0.0</v>
      </c>
      <c r="G80" s="20">
        <v>0.0</v>
      </c>
      <c r="H80" s="20">
        <v>0.0</v>
      </c>
      <c r="I80" s="20">
        <v>0.0</v>
      </c>
      <c r="J80" s="20">
        <v>0.0</v>
      </c>
      <c r="K80" s="20">
        <v>0.0</v>
      </c>
      <c r="L80" s="20">
        <v>0.0</v>
      </c>
      <c r="M80" s="20">
        <v>0.0</v>
      </c>
      <c r="N80" s="20">
        <v>0.0</v>
      </c>
      <c r="O80" s="20">
        <v>0.0</v>
      </c>
      <c r="P80" s="20">
        <v>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  <c r="V80" s="20">
        <v>0.0</v>
      </c>
      <c r="W80" s="20">
        <v>0.0</v>
      </c>
      <c r="X80" s="20">
        <v>0.0</v>
      </c>
      <c r="Y80" s="20">
        <v>0.0</v>
      </c>
      <c r="Z80" s="20">
        <v>0.0</v>
      </c>
      <c r="AA80" s="20">
        <v>0.0</v>
      </c>
      <c r="AB80" s="20">
        <v>0.0</v>
      </c>
      <c r="AC80" s="20">
        <v>0.0</v>
      </c>
      <c r="AD80" s="20">
        <v>0.0</v>
      </c>
      <c r="AE80" s="20">
        <v>0.0</v>
      </c>
      <c r="AF80" s="20">
        <v>0.0</v>
      </c>
      <c r="AG80" s="20">
        <v>0.0</v>
      </c>
      <c r="AH80" s="19">
        <f t="shared" si="18"/>
        <v>0</v>
      </c>
    </row>
    <row r="81">
      <c r="A81" s="16" t="s">
        <v>77</v>
      </c>
      <c r="B81" s="27">
        <f t="shared" si="17"/>
        <v>0</v>
      </c>
      <c r="C81" s="20">
        <v>0.0</v>
      </c>
      <c r="D81" s="20">
        <v>0.0</v>
      </c>
      <c r="E81" s="20">
        <v>0.0</v>
      </c>
      <c r="F81" s="20">
        <v>0.0</v>
      </c>
      <c r="G81" s="20">
        <v>0.0</v>
      </c>
      <c r="H81" s="20">
        <v>0.0</v>
      </c>
      <c r="I81" s="20">
        <v>0.0</v>
      </c>
      <c r="J81" s="20">
        <v>0.0</v>
      </c>
      <c r="K81" s="20">
        <v>0.0</v>
      </c>
      <c r="L81" s="20">
        <v>0.0</v>
      </c>
      <c r="M81" s="20">
        <v>0.0</v>
      </c>
      <c r="N81" s="20">
        <v>0.0</v>
      </c>
      <c r="O81" s="20">
        <v>0.0</v>
      </c>
      <c r="P81" s="20">
        <v>0.0</v>
      </c>
      <c r="Q81" s="20">
        <v>0.0</v>
      </c>
      <c r="R81" s="20">
        <v>0.0</v>
      </c>
      <c r="S81" s="20">
        <v>0.0</v>
      </c>
      <c r="T81" s="20">
        <v>0.0</v>
      </c>
      <c r="U81" s="20">
        <v>0.0</v>
      </c>
      <c r="V81" s="20">
        <v>0.0</v>
      </c>
      <c r="W81" s="20">
        <v>0.0</v>
      </c>
      <c r="X81" s="20">
        <v>0.0</v>
      </c>
      <c r="Y81" s="20">
        <v>0.0</v>
      </c>
      <c r="Z81" s="20">
        <v>0.0</v>
      </c>
      <c r="AA81" s="20">
        <v>0.0</v>
      </c>
      <c r="AB81" s="20">
        <v>0.0</v>
      </c>
      <c r="AC81" s="20">
        <v>0.0</v>
      </c>
      <c r="AD81" s="20">
        <v>0.0</v>
      </c>
      <c r="AE81" s="20">
        <v>0.0</v>
      </c>
      <c r="AF81" s="20">
        <v>0.0</v>
      </c>
      <c r="AG81" s="20">
        <v>0.0</v>
      </c>
      <c r="AH81" s="19">
        <f t="shared" si="18"/>
        <v>0</v>
      </c>
    </row>
    <row r="82">
      <c r="A82" s="39" t="s">
        <v>78</v>
      </c>
      <c r="B82" s="27">
        <f t="shared" si="17"/>
        <v>0.1784845282</v>
      </c>
      <c r="C82" s="17">
        <v>1088000.0</v>
      </c>
      <c r="D82" s="20">
        <v>0.0</v>
      </c>
      <c r="E82" s="20">
        <v>0.0</v>
      </c>
      <c r="F82" s="20">
        <v>0.0</v>
      </c>
      <c r="G82" s="20">
        <v>0.0</v>
      </c>
      <c r="H82" s="17">
        <v>0.0</v>
      </c>
      <c r="I82" s="17">
        <v>2358472.0</v>
      </c>
      <c r="J82" s="20">
        <v>0.0</v>
      </c>
      <c r="K82" s="17">
        <v>221624.0</v>
      </c>
      <c r="L82" s="17">
        <v>227091.0</v>
      </c>
      <c r="M82" s="20">
        <v>0.0</v>
      </c>
      <c r="N82" s="17">
        <v>750000.0</v>
      </c>
      <c r="O82" s="17">
        <f>300000+65000</f>
        <v>365000</v>
      </c>
      <c r="P82" s="17">
        <v>0.0</v>
      </c>
      <c r="Q82" s="20">
        <v>0.0</v>
      </c>
      <c r="R82" s="20">
        <v>0.0</v>
      </c>
      <c r="S82" s="20">
        <v>0.0</v>
      </c>
      <c r="T82" s="20">
        <v>0.0</v>
      </c>
      <c r="U82" s="20">
        <v>0.0</v>
      </c>
      <c r="V82" s="20">
        <v>0.0</v>
      </c>
      <c r="W82" s="20">
        <v>0.0</v>
      </c>
      <c r="X82" s="20">
        <v>0.0</v>
      </c>
      <c r="Y82" s="20">
        <v>0.0</v>
      </c>
      <c r="Z82" s="17">
        <v>560000.0</v>
      </c>
      <c r="AA82" s="20">
        <v>0.0</v>
      </c>
      <c r="AB82" s="20">
        <v>0.0</v>
      </c>
      <c r="AC82" s="20">
        <v>0.0</v>
      </c>
      <c r="AD82" s="20">
        <v>0.0</v>
      </c>
      <c r="AE82" s="20">
        <v>0.0</v>
      </c>
      <c r="AF82" s="20">
        <v>0.0</v>
      </c>
      <c r="AG82" s="17">
        <v>455000.0</v>
      </c>
      <c r="AH82" s="19">
        <f t="shared" si="18"/>
        <v>6025187</v>
      </c>
    </row>
    <row r="83">
      <c r="A83" s="39"/>
      <c r="B83" s="27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42" t="s">
        <v>79</v>
      </c>
      <c r="B84" s="43">
        <f t="shared" ref="B84:B88" si="20">AH84/$AH$10</f>
        <v>0.1263545037</v>
      </c>
      <c r="C84" s="44">
        <f t="shared" ref="C84:AH84" si="19">sum(C85:C88)</f>
        <v>0</v>
      </c>
      <c r="D84" s="44">
        <f t="shared" si="19"/>
        <v>0</v>
      </c>
      <c r="E84" s="44">
        <f t="shared" si="19"/>
        <v>624926</v>
      </c>
      <c r="F84" s="44">
        <f t="shared" si="19"/>
        <v>0</v>
      </c>
      <c r="G84" s="44">
        <f t="shared" si="19"/>
        <v>0</v>
      </c>
      <c r="H84" s="44">
        <f t="shared" si="19"/>
        <v>437190</v>
      </c>
      <c r="I84" s="44">
        <f t="shared" si="19"/>
        <v>0</v>
      </c>
      <c r="J84" s="44">
        <f t="shared" si="19"/>
        <v>0</v>
      </c>
      <c r="K84" s="44">
        <f t="shared" si="19"/>
        <v>0</v>
      </c>
      <c r="L84" s="44">
        <f t="shared" si="19"/>
        <v>518366</v>
      </c>
      <c r="M84" s="44">
        <f t="shared" si="19"/>
        <v>0</v>
      </c>
      <c r="N84" s="44">
        <f t="shared" si="19"/>
        <v>0</v>
      </c>
      <c r="O84" s="44">
        <f t="shared" si="19"/>
        <v>448723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574643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301704</v>
      </c>
      <c r="X84" s="44">
        <f t="shared" si="19"/>
        <v>0</v>
      </c>
      <c r="Y84" s="44">
        <f t="shared" si="19"/>
        <v>0</v>
      </c>
      <c r="Z84" s="44">
        <f t="shared" si="19"/>
        <v>496863</v>
      </c>
      <c r="AA84" s="44">
        <f t="shared" si="19"/>
        <v>0</v>
      </c>
      <c r="AB84" s="44">
        <f t="shared" si="19"/>
        <v>0</v>
      </c>
      <c r="AC84" s="44">
        <f t="shared" si="19"/>
        <v>314949</v>
      </c>
      <c r="AD84" s="44">
        <f t="shared" si="19"/>
        <v>0</v>
      </c>
      <c r="AE84" s="44">
        <f t="shared" si="19"/>
        <v>0</v>
      </c>
      <c r="AF84" s="44">
        <f t="shared" si="19"/>
        <v>0</v>
      </c>
      <c r="AG84" s="44">
        <f t="shared" si="19"/>
        <v>548045</v>
      </c>
      <c r="AH84" s="45">
        <f t="shared" si="19"/>
        <v>4265409</v>
      </c>
    </row>
    <row r="85">
      <c r="A85" s="16" t="s">
        <v>80</v>
      </c>
      <c r="B85" s="27">
        <f t="shared" si="20"/>
        <v>0.0817105841</v>
      </c>
      <c r="C85" s="17">
        <v>0.0</v>
      </c>
      <c r="D85" s="17">
        <v>0.0</v>
      </c>
      <c r="E85" s="17">
        <v>620426.0</v>
      </c>
      <c r="F85" s="17">
        <v>0.0</v>
      </c>
      <c r="G85" s="17">
        <v>0.0</v>
      </c>
      <c r="H85" s="17">
        <v>0.0</v>
      </c>
      <c r="I85" s="17">
        <v>0.0</v>
      </c>
      <c r="J85" s="17">
        <v>0.0</v>
      </c>
      <c r="K85" s="17">
        <v>0.0</v>
      </c>
      <c r="L85" s="17">
        <v>518366.0</v>
      </c>
      <c r="M85" s="17">
        <v>0.0</v>
      </c>
      <c r="N85" s="17">
        <v>0.0</v>
      </c>
      <c r="O85" s="17">
        <v>0.0</v>
      </c>
      <c r="P85" s="17">
        <v>0.0</v>
      </c>
      <c r="Q85" s="17">
        <v>0.0</v>
      </c>
      <c r="R85" s="17">
        <v>0.0</v>
      </c>
      <c r="S85" s="17">
        <v>574643.0</v>
      </c>
      <c r="T85" s="17">
        <v>0.0</v>
      </c>
      <c r="U85" s="17">
        <v>0.0</v>
      </c>
      <c r="V85" s="17">
        <v>0.0</v>
      </c>
      <c r="W85" s="17">
        <v>0.0</v>
      </c>
      <c r="X85" s="17">
        <v>0.0</v>
      </c>
      <c r="Y85" s="17">
        <v>0.0</v>
      </c>
      <c r="Z85" s="17">
        <v>496863.0</v>
      </c>
      <c r="AA85" s="17">
        <v>0.0</v>
      </c>
      <c r="AB85" s="17">
        <v>0.0</v>
      </c>
      <c r="AC85" s="17">
        <v>0.0</v>
      </c>
      <c r="AD85" s="17">
        <v>0.0</v>
      </c>
      <c r="AE85" s="17">
        <v>0.0</v>
      </c>
      <c r="AF85" s="17">
        <v>0.0</v>
      </c>
      <c r="AG85" s="17">
        <v>548045.0</v>
      </c>
      <c r="AH85" s="19">
        <f t="shared" ref="AH85:AH88" si="21">SUM(C85:AG85)</f>
        <v>2758343</v>
      </c>
    </row>
    <row r="86">
      <c r="A86" s="16" t="s">
        <v>81</v>
      </c>
      <c r="B86" s="27">
        <f t="shared" si="20"/>
        <v>0</v>
      </c>
      <c r="C86" s="17">
        <v>0.0</v>
      </c>
      <c r="D86" s="17">
        <v>0.0</v>
      </c>
      <c r="E86" s="17">
        <v>0.0</v>
      </c>
      <c r="F86" s="17">
        <v>0.0</v>
      </c>
      <c r="G86" s="17">
        <v>0.0</v>
      </c>
      <c r="H86" s="17">
        <v>0.0</v>
      </c>
      <c r="I86" s="17">
        <v>0.0</v>
      </c>
      <c r="J86" s="17">
        <v>0.0</v>
      </c>
      <c r="K86" s="17">
        <v>0.0</v>
      </c>
      <c r="L86" s="17">
        <v>0.0</v>
      </c>
      <c r="M86" s="17">
        <v>0.0</v>
      </c>
      <c r="N86" s="17">
        <v>0.0</v>
      </c>
      <c r="O86" s="17">
        <v>0.0</v>
      </c>
      <c r="P86" s="17">
        <v>0.0</v>
      </c>
      <c r="Q86" s="17">
        <v>0.0</v>
      </c>
      <c r="R86" s="17">
        <v>0.0</v>
      </c>
      <c r="S86" s="17">
        <v>0.0</v>
      </c>
      <c r="T86" s="17">
        <v>0.0</v>
      </c>
      <c r="U86" s="17">
        <v>0.0</v>
      </c>
      <c r="V86" s="17">
        <v>0.0</v>
      </c>
      <c r="W86" s="17">
        <v>0.0</v>
      </c>
      <c r="X86" s="17">
        <v>0.0</v>
      </c>
      <c r="Y86" s="17">
        <v>0.0</v>
      </c>
      <c r="Z86" s="17">
        <v>0.0</v>
      </c>
      <c r="AA86" s="17">
        <v>0.0</v>
      </c>
      <c r="AB86" s="17">
        <v>0.0</v>
      </c>
      <c r="AC86" s="17">
        <v>0.0</v>
      </c>
      <c r="AD86" s="17">
        <v>0.0</v>
      </c>
      <c r="AE86" s="17">
        <v>0.0</v>
      </c>
      <c r="AF86" s="17">
        <v>0.0</v>
      </c>
      <c r="AG86" s="17">
        <v>0.0</v>
      </c>
      <c r="AH86" s="19">
        <f t="shared" si="21"/>
        <v>0</v>
      </c>
    </row>
    <row r="87">
      <c r="A87" s="16" t="s">
        <v>82</v>
      </c>
      <c r="B87" s="27">
        <f t="shared" si="20"/>
        <v>0.000133303809</v>
      </c>
      <c r="C87" s="17">
        <v>0.0</v>
      </c>
      <c r="D87" s="17">
        <v>0.0</v>
      </c>
      <c r="E87" s="17">
        <v>4500.0</v>
      </c>
      <c r="F87" s="17">
        <v>0.0</v>
      </c>
      <c r="G87" s="17">
        <v>0.0</v>
      </c>
      <c r="H87" s="17">
        <v>0.0</v>
      </c>
      <c r="I87" s="17">
        <v>0.0</v>
      </c>
      <c r="J87" s="17">
        <v>0.0</v>
      </c>
      <c r="K87" s="17">
        <v>0.0</v>
      </c>
      <c r="L87" s="17">
        <v>0.0</v>
      </c>
      <c r="M87" s="17">
        <v>0.0</v>
      </c>
      <c r="N87" s="17">
        <v>0.0</v>
      </c>
      <c r="O87" s="17">
        <v>0.0</v>
      </c>
      <c r="P87" s="17">
        <v>0.0</v>
      </c>
      <c r="Q87" s="17">
        <v>0.0</v>
      </c>
      <c r="R87" s="17">
        <v>0.0</v>
      </c>
      <c r="S87" s="17">
        <v>0.0</v>
      </c>
      <c r="T87" s="17">
        <v>0.0</v>
      </c>
      <c r="U87" s="17">
        <v>0.0</v>
      </c>
      <c r="V87" s="17">
        <v>0.0</v>
      </c>
      <c r="W87" s="17">
        <v>0.0</v>
      </c>
      <c r="X87" s="17">
        <v>0.0</v>
      </c>
      <c r="Y87" s="17">
        <v>0.0</v>
      </c>
      <c r="Z87" s="17">
        <v>0.0</v>
      </c>
      <c r="AA87" s="17">
        <v>0.0</v>
      </c>
      <c r="AB87" s="17">
        <v>0.0</v>
      </c>
      <c r="AC87" s="17">
        <v>0.0</v>
      </c>
      <c r="AD87" s="17">
        <v>0.0</v>
      </c>
      <c r="AE87" s="17">
        <v>0.0</v>
      </c>
      <c r="AF87" s="17">
        <v>0.0</v>
      </c>
      <c r="AG87" s="17">
        <v>0.0</v>
      </c>
      <c r="AH87" s="19">
        <f t="shared" si="21"/>
        <v>4500</v>
      </c>
    </row>
    <row r="88">
      <c r="A88" s="16" t="s">
        <v>83</v>
      </c>
      <c r="B88" s="27">
        <f t="shared" si="20"/>
        <v>0.0445106158</v>
      </c>
      <c r="C88" s="17">
        <v>0.0</v>
      </c>
      <c r="D88" s="17">
        <v>0.0</v>
      </c>
      <c r="E88" s="17">
        <v>0.0</v>
      </c>
      <c r="F88" s="17">
        <v>0.0</v>
      </c>
      <c r="G88" s="17">
        <v>0.0</v>
      </c>
      <c r="H88" s="17">
        <v>437190.0</v>
      </c>
      <c r="I88" s="17">
        <v>0.0</v>
      </c>
      <c r="J88" s="17">
        <v>0.0</v>
      </c>
      <c r="K88" s="17">
        <v>0.0</v>
      </c>
      <c r="L88" s="17">
        <v>0.0</v>
      </c>
      <c r="M88" s="17">
        <v>0.0</v>
      </c>
      <c r="N88" s="17">
        <v>0.0</v>
      </c>
      <c r="O88" s="17">
        <v>448723.0</v>
      </c>
      <c r="P88" s="17">
        <v>0.0</v>
      </c>
      <c r="Q88" s="17">
        <v>0.0</v>
      </c>
      <c r="R88" s="17">
        <v>0.0</v>
      </c>
      <c r="S88" s="17">
        <v>0.0</v>
      </c>
      <c r="T88" s="17">
        <v>0.0</v>
      </c>
      <c r="U88" s="17">
        <v>0.0</v>
      </c>
      <c r="V88" s="17">
        <v>0.0</v>
      </c>
      <c r="W88" s="17">
        <v>301704.0</v>
      </c>
      <c r="X88" s="17">
        <v>0.0</v>
      </c>
      <c r="Y88" s="17">
        <v>0.0</v>
      </c>
      <c r="Z88" s="17">
        <v>0.0</v>
      </c>
      <c r="AA88" s="17">
        <v>0.0</v>
      </c>
      <c r="AB88" s="17">
        <v>0.0</v>
      </c>
      <c r="AC88" s="17">
        <v>314949.0</v>
      </c>
      <c r="AD88" s="17">
        <v>0.0</v>
      </c>
      <c r="AE88" s="17">
        <v>0.0</v>
      </c>
      <c r="AF88" s="17">
        <v>0.0</v>
      </c>
      <c r="AG88" s="17">
        <v>0.0</v>
      </c>
      <c r="AH88" s="19">
        <f t="shared" si="21"/>
        <v>1502566</v>
      </c>
    </row>
    <row r="89">
      <c r="A89" s="7"/>
      <c r="B89" s="8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47" t="s">
        <v>84</v>
      </c>
      <c r="B90" s="48">
        <f t="shared" ref="B90:B99" si="23">AH90/$AH$10</f>
        <v>0.2754253984</v>
      </c>
      <c r="C90" s="49">
        <f t="shared" ref="C90:AG90" si="22">sum(C91:C99)</f>
        <v>0</v>
      </c>
      <c r="D90" s="49">
        <f t="shared" si="22"/>
        <v>0</v>
      </c>
      <c r="E90" s="49">
        <f t="shared" si="22"/>
        <v>0</v>
      </c>
      <c r="F90" s="49">
        <f t="shared" si="22"/>
        <v>7605</v>
      </c>
      <c r="G90" s="49">
        <f t="shared" si="22"/>
        <v>0</v>
      </c>
      <c r="H90" s="49">
        <f t="shared" si="22"/>
        <v>188625</v>
      </c>
      <c r="I90" s="49">
        <f t="shared" si="22"/>
        <v>325000</v>
      </c>
      <c r="J90" s="49">
        <f t="shared" si="22"/>
        <v>0</v>
      </c>
      <c r="K90" s="49">
        <f t="shared" si="22"/>
        <v>0</v>
      </c>
      <c r="L90" s="49">
        <f t="shared" si="22"/>
        <v>0</v>
      </c>
      <c r="M90" s="49">
        <f t="shared" si="22"/>
        <v>0</v>
      </c>
      <c r="N90" s="49">
        <f t="shared" si="22"/>
        <v>0</v>
      </c>
      <c r="O90" s="49">
        <f t="shared" si="22"/>
        <v>0</v>
      </c>
      <c r="P90" s="49">
        <f t="shared" si="22"/>
        <v>1275707</v>
      </c>
      <c r="Q90" s="49">
        <f t="shared" si="22"/>
        <v>1150000</v>
      </c>
      <c r="R90" s="49">
        <f t="shared" si="22"/>
        <v>0</v>
      </c>
      <c r="S90" s="49">
        <f t="shared" si="22"/>
        <v>0</v>
      </c>
      <c r="T90" s="49">
        <f t="shared" si="22"/>
        <v>0</v>
      </c>
      <c r="U90" s="49">
        <f t="shared" si="22"/>
        <v>16706</v>
      </c>
      <c r="V90" s="49">
        <f t="shared" si="22"/>
        <v>0</v>
      </c>
      <c r="W90" s="49">
        <f t="shared" si="22"/>
        <v>0</v>
      </c>
      <c r="X90" s="49">
        <f t="shared" si="22"/>
        <v>0</v>
      </c>
      <c r="Y90" s="49">
        <f t="shared" si="22"/>
        <v>0</v>
      </c>
      <c r="Z90" s="49">
        <f t="shared" si="22"/>
        <v>0</v>
      </c>
      <c r="AA90" s="49">
        <f t="shared" si="22"/>
        <v>520000</v>
      </c>
      <c r="AB90" s="49">
        <f t="shared" si="22"/>
        <v>0</v>
      </c>
      <c r="AC90" s="49">
        <f t="shared" si="22"/>
        <v>0</v>
      </c>
      <c r="AD90" s="49">
        <f t="shared" si="22"/>
        <v>0</v>
      </c>
      <c r="AE90" s="49">
        <f t="shared" si="22"/>
        <v>0</v>
      </c>
      <c r="AF90" s="49">
        <f t="shared" si="22"/>
        <v>0</v>
      </c>
      <c r="AG90" s="49">
        <f t="shared" si="22"/>
        <v>5814023</v>
      </c>
      <c r="AH90" s="50">
        <f>SUM(AH91:AH99)</f>
        <v>9297666</v>
      </c>
    </row>
    <row r="91">
      <c r="A91" s="16" t="s">
        <v>85</v>
      </c>
      <c r="B91" s="27">
        <f t="shared" si="23"/>
        <v>0</v>
      </c>
      <c r="C91" s="20">
        <v>0.0</v>
      </c>
      <c r="D91" s="20">
        <v>0.0</v>
      </c>
      <c r="E91" s="20">
        <v>0.0</v>
      </c>
      <c r="F91" s="20">
        <v>0.0</v>
      </c>
      <c r="G91" s="20">
        <v>0.0</v>
      </c>
      <c r="H91" s="20">
        <v>0.0</v>
      </c>
      <c r="I91" s="20">
        <v>0.0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  <c r="O91" s="20">
        <v>0.0</v>
      </c>
      <c r="P91" s="20">
        <v>0.0</v>
      </c>
      <c r="Q91" s="20">
        <v>0.0</v>
      </c>
      <c r="R91" s="20">
        <v>0.0</v>
      </c>
      <c r="S91" s="20">
        <v>0.0</v>
      </c>
      <c r="T91" s="20">
        <v>0.0</v>
      </c>
      <c r="U91" s="20">
        <v>0.0</v>
      </c>
      <c r="V91" s="20">
        <v>0.0</v>
      </c>
      <c r="W91" s="20">
        <v>0.0</v>
      </c>
      <c r="X91" s="20">
        <v>0.0</v>
      </c>
      <c r="Y91" s="20">
        <v>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v>0.0</v>
      </c>
      <c r="AG91" s="20">
        <v>0.0</v>
      </c>
      <c r="AH91" s="19">
        <f t="shared" ref="AH91:AH99" si="24">SUM(C91:AG91)</f>
        <v>0</v>
      </c>
    </row>
    <row r="92">
      <c r="A92" s="16" t="s">
        <v>86</v>
      </c>
      <c r="B92" s="27">
        <f t="shared" si="23"/>
        <v>0.2216997272</v>
      </c>
      <c r="C92" s="20">
        <v>0.0</v>
      </c>
      <c r="D92" s="20">
        <v>0.0</v>
      </c>
      <c r="E92" s="20">
        <v>0.0</v>
      </c>
      <c r="F92" s="20">
        <v>0.0</v>
      </c>
      <c r="G92" s="20">
        <v>0.0</v>
      </c>
      <c r="H92" s="20">
        <v>0.0</v>
      </c>
      <c r="I92" s="20">
        <v>0.0</v>
      </c>
      <c r="J92" s="20">
        <v>0.0</v>
      </c>
      <c r="K92" s="20">
        <v>0.0</v>
      </c>
      <c r="L92" s="20">
        <v>0.0</v>
      </c>
      <c r="M92" s="20">
        <v>0.0</v>
      </c>
      <c r="N92" s="20">
        <v>0.0</v>
      </c>
      <c r="O92" s="20">
        <v>0.0</v>
      </c>
      <c r="P92" s="20">
        <v>0.0</v>
      </c>
      <c r="Q92" s="20">
        <f>500000+300000+200000+150000</f>
        <v>1150000</v>
      </c>
      <c r="R92" s="20">
        <v>0.0</v>
      </c>
      <c r="S92" s="20">
        <v>0.0</v>
      </c>
      <c r="T92" s="20">
        <v>0.0</v>
      </c>
      <c r="U92" s="20">
        <v>0.0</v>
      </c>
      <c r="V92" s="20">
        <v>0.0</v>
      </c>
      <c r="W92" s="20">
        <v>0.0</v>
      </c>
      <c r="X92" s="20">
        <v>0.0</v>
      </c>
      <c r="Y92" s="20">
        <v>0.0</v>
      </c>
      <c r="Z92" s="20">
        <v>0.0</v>
      </c>
      <c r="AA92" s="17">
        <v>520000.0</v>
      </c>
      <c r="AB92" s="20">
        <v>0.0</v>
      </c>
      <c r="AC92" s="20">
        <v>0.0</v>
      </c>
      <c r="AD92" s="20">
        <v>0.0</v>
      </c>
      <c r="AE92" s="20">
        <v>0.0</v>
      </c>
      <c r="AF92" s="20">
        <v>0.0</v>
      </c>
      <c r="AG92" s="17">
        <f>5209023+350000+175000+80000</f>
        <v>5814023</v>
      </c>
      <c r="AH92" s="19">
        <f t="shared" si="24"/>
        <v>7484023</v>
      </c>
    </row>
    <row r="93">
      <c r="A93" s="16" t="s">
        <v>87</v>
      </c>
      <c r="B93" s="27">
        <f t="shared" si="23"/>
        <v>0.0007201664224</v>
      </c>
      <c r="C93" s="20">
        <v>0.0</v>
      </c>
      <c r="D93" s="20">
        <v>0.0</v>
      </c>
      <c r="E93" s="20">
        <v>0.0</v>
      </c>
      <c r="F93" s="17">
        <v>7605.0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  <c r="P93" s="20">
        <v>0.0</v>
      </c>
      <c r="Q93" s="20">
        <v>0.0</v>
      </c>
      <c r="R93" s="20">
        <v>0.0</v>
      </c>
      <c r="S93" s="20">
        <v>0.0</v>
      </c>
      <c r="T93" s="20">
        <v>0.0</v>
      </c>
      <c r="U93" s="17">
        <v>16706.0</v>
      </c>
      <c r="V93" s="20">
        <v>0.0</v>
      </c>
      <c r="W93" s="20">
        <v>0.0</v>
      </c>
      <c r="X93" s="20">
        <v>0.0</v>
      </c>
      <c r="Y93" s="20">
        <v>0.0</v>
      </c>
      <c r="Z93" s="20">
        <v>0.0</v>
      </c>
      <c r="AA93" s="20">
        <v>0.0</v>
      </c>
      <c r="AB93" s="20">
        <v>0.0</v>
      </c>
      <c r="AC93" s="20">
        <v>0.0</v>
      </c>
      <c r="AD93" s="20">
        <v>0.0</v>
      </c>
      <c r="AE93" s="20">
        <v>0.0</v>
      </c>
      <c r="AF93" s="20">
        <v>0.0</v>
      </c>
      <c r="AG93" s="20">
        <v>0.0</v>
      </c>
      <c r="AH93" s="19">
        <f t="shared" si="24"/>
        <v>24311</v>
      </c>
    </row>
    <row r="94">
      <c r="A94" s="16" t="s">
        <v>88</v>
      </c>
      <c r="B94" s="27">
        <f t="shared" si="23"/>
        <v>0</v>
      </c>
      <c r="C94" s="20">
        <v>0.0</v>
      </c>
      <c r="D94" s="20">
        <v>0.0</v>
      </c>
      <c r="E94" s="20">
        <v>0.0</v>
      </c>
      <c r="F94" s="20">
        <v>0.0</v>
      </c>
      <c r="G94" s="20">
        <v>0.0</v>
      </c>
      <c r="H94" s="20">
        <v>0.0</v>
      </c>
      <c r="I94" s="20">
        <v>0.0</v>
      </c>
      <c r="J94" s="20">
        <v>0.0</v>
      </c>
      <c r="K94" s="20">
        <v>0.0</v>
      </c>
      <c r="L94" s="20">
        <v>0.0</v>
      </c>
      <c r="M94" s="20">
        <v>0.0</v>
      </c>
      <c r="N94" s="20">
        <v>0.0</v>
      </c>
      <c r="O94" s="20">
        <v>0.0</v>
      </c>
      <c r="P94" s="20">
        <v>0.0</v>
      </c>
      <c r="Q94" s="20">
        <v>0.0</v>
      </c>
      <c r="R94" s="20">
        <v>0.0</v>
      </c>
      <c r="S94" s="20">
        <v>0.0</v>
      </c>
      <c r="T94" s="20">
        <v>0.0</v>
      </c>
      <c r="U94" s="20">
        <v>0.0</v>
      </c>
      <c r="V94" s="20">
        <v>0.0</v>
      </c>
      <c r="W94" s="20">
        <v>0.0</v>
      </c>
      <c r="X94" s="20">
        <v>0.0</v>
      </c>
      <c r="Y94" s="20">
        <v>0.0</v>
      </c>
      <c r="Z94" s="20">
        <v>0.0</v>
      </c>
      <c r="AA94" s="20">
        <v>0.0</v>
      </c>
      <c r="AB94" s="20">
        <v>0.0</v>
      </c>
      <c r="AC94" s="20">
        <v>0.0</v>
      </c>
      <c r="AD94" s="20">
        <v>0.0</v>
      </c>
      <c r="AE94" s="20">
        <v>0.0</v>
      </c>
      <c r="AF94" s="20">
        <v>0.0</v>
      </c>
      <c r="AG94" s="20">
        <v>0.0</v>
      </c>
      <c r="AH94" s="19">
        <f t="shared" si="24"/>
        <v>0</v>
      </c>
    </row>
    <row r="95">
      <c r="A95" s="16" t="s">
        <v>89</v>
      </c>
      <c r="B95" s="27">
        <f t="shared" si="23"/>
        <v>0.005587651328</v>
      </c>
      <c r="C95" s="20">
        <v>0.0</v>
      </c>
      <c r="D95" s="20">
        <v>0.0</v>
      </c>
      <c r="E95" s="20">
        <v>0.0</v>
      </c>
      <c r="F95" s="20">
        <v>0.0</v>
      </c>
      <c r="G95" s="20">
        <v>0.0</v>
      </c>
      <c r="H95" s="17">
        <v>188625.0</v>
      </c>
      <c r="I95" s="20">
        <v>0.0</v>
      </c>
      <c r="J95" s="20">
        <v>0.0</v>
      </c>
      <c r="K95" s="20">
        <v>0.0</v>
      </c>
      <c r="L95" s="20">
        <v>0.0</v>
      </c>
      <c r="M95" s="20">
        <v>0.0</v>
      </c>
      <c r="N95" s="20">
        <v>0.0</v>
      </c>
      <c r="O95" s="20">
        <v>0.0</v>
      </c>
      <c r="P95" s="20">
        <v>0.0</v>
      </c>
      <c r="Q95" s="20">
        <v>0.0</v>
      </c>
      <c r="R95" s="20">
        <v>0.0</v>
      </c>
      <c r="S95" s="20">
        <v>0.0</v>
      </c>
      <c r="T95" s="20">
        <v>0.0</v>
      </c>
      <c r="U95" s="20">
        <v>0.0</v>
      </c>
      <c r="V95" s="20">
        <v>0.0</v>
      </c>
      <c r="W95" s="20">
        <v>0.0</v>
      </c>
      <c r="X95" s="20">
        <v>0.0</v>
      </c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20">
        <v>0.0</v>
      </c>
      <c r="AF95" s="20">
        <v>0.0</v>
      </c>
      <c r="AG95" s="20">
        <v>0.0</v>
      </c>
      <c r="AH95" s="19">
        <f t="shared" si="24"/>
        <v>188625</v>
      </c>
    </row>
    <row r="96">
      <c r="A96" s="16" t="s">
        <v>90</v>
      </c>
      <c r="B96" s="27">
        <f t="shared" si="23"/>
        <v>0.03779035606</v>
      </c>
      <c r="C96" s="20">
        <v>0.0</v>
      </c>
      <c r="D96" s="20">
        <v>0.0</v>
      </c>
      <c r="E96" s="20">
        <v>0.0</v>
      </c>
      <c r="F96" s="20">
        <v>0.0</v>
      </c>
      <c r="G96" s="20">
        <v>0.0</v>
      </c>
      <c r="H96" s="20">
        <v>0.0</v>
      </c>
      <c r="I96" s="20">
        <v>0.0</v>
      </c>
      <c r="J96" s="20">
        <v>0.0</v>
      </c>
      <c r="K96" s="20">
        <v>0.0</v>
      </c>
      <c r="L96" s="20">
        <v>0.0</v>
      </c>
      <c r="M96" s="20">
        <v>0.0</v>
      </c>
      <c r="N96" s="20">
        <v>0.0</v>
      </c>
      <c r="O96" s="20">
        <v>0.0</v>
      </c>
      <c r="P96" s="17">
        <v>1275707.0</v>
      </c>
      <c r="Q96" s="20">
        <v>0.0</v>
      </c>
      <c r="R96" s="20">
        <v>0.0</v>
      </c>
      <c r="S96" s="20">
        <v>0.0</v>
      </c>
      <c r="T96" s="20">
        <v>0.0</v>
      </c>
      <c r="U96" s="20">
        <v>0.0</v>
      </c>
      <c r="V96" s="20">
        <v>0.0</v>
      </c>
      <c r="W96" s="20">
        <v>0.0</v>
      </c>
      <c r="X96" s="20">
        <v>0.0</v>
      </c>
      <c r="Y96" s="20">
        <v>0.0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20">
        <v>0.0</v>
      </c>
      <c r="AF96" s="20">
        <v>0.0</v>
      </c>
      <c r="AG96" s="20">
        <v>0.0</v>
      </c>
      <c r="AH96" s="19">
        <f t="shared" si="24"/>
        <v>1275707</v>
      </c>
    </row>
    <row r="97">
      <c r="A97" s="16" t="s">
        <v>91</v>
      </c>
      <c r="B97" s="27">
        <f t="shared" si="23"/>
        <v>0</v>
      </c>
      <c r="C97" s="20">
        <v>0.0</v>
      </c>
      <c r="D97" s="20">
        <v>0.0</v>
      </c>
      <c r="E97" s="20">
        <v>0.0</v>
      </c>
      <c r="F97" s="20">
        <v>0.0</v>
      </c>
      <c r="G97" s="20">
        <v>0.0</v>
      </c>
      <c r="H97" s="20">
        <v>0.0</v>
      </c>
      <c r="I97" s="20">
        <v>0.0</v>
      </c>
      <c r="J97" s="20">
        <v>0.0</v>
      </c>
      <c r="K97" s="20">
        <v>0.0</v>
      </c>
      <c r="L97" s="20">
        <v>0.0</v>
      </c>
      <c r="M97" s="20">
        <v>0.0</v>
      </c>
      <c r="N97" s="20">
        <v>0.0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20">
        <v>0.0</v>
      </c>
      <c r="W97" s="20">
        <v>0.0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20">
        <v>0.0</v>
      </c>
      <c r="AD97" s="20">
        <v>0.0</v>
      </c>
      <c r="AE97" s="20">
        <v>0.0</v>
      </c>
      <c r="AF97" s="20">
        <v>0.0</v>
      </c>
      <c r="AG97" s="20">
        <v>0.0</v>
      </c>
      <c r="AH97" s="19">
        <f t="shared" si="24"/>
        <v>0</v>
      </c>
    </row>
    <row r="98">
      <c r="A98" s="16" t="s">
        <v>92</v>
      </c>
      <c r="B98" s="27">
        <f t="shared" si="23"/>
        <v>0.009627497317</v>
      </c>
      <c r="C98" s="20">
        <v>0.0</v>
      </c>
      <c r="D98" s="20">
        <v>0.0</v>
      </c>
      <c r="E98" s="20">
        <v>0.0</v>
      </c>
      <c r="F98" s="20">
        <v>0.0</v>
      </c>
      <c r="G98" s="20">
        <v>0.0</v>
      </c>
      <c r="H98" s="20">
        <v>0.0</v>
      </c>
      <c r="I98" s="17">
        <v>325000.0</v>
      </c>
      <c r="J98" s="20">
        <v>0.0</v>
      </c>
      <c r="K98" s="20">
        <v>0.0</v>
      </c>
      <c r="L98" s="20">
        <v>0.0</v>
      </c>
      <c r="M98" s="20">
        <v>0.0</v>
      </c>
      <c r="N98" s="20">
        <v>0.0</v>
      </c>
      <c r="O98" s="20">
        <v>0.0</v>
      </c>
      <c r="P98" s="20">
        <v>0.0</v>
      </c>
      <c r="Q98" s="20">
        <v>0.0</v>
      </c>
      <c r="R98" s="20">
        <v>0.0</v>
      </c>
      <c r="S98" s="20">
        <v>0.0</v>
      </c>
      <c r="T98" s="20">
        <v>0.0</v>
      </c>
      <c r="U98" s="20">
        <v>0.0</v>
      </c>
      <c r="V98" s="20">
        <v>0.0</v>
      </c>
      <c r="W98" s="20">
        <v>0.0</v>
      </c>
      <c r="X98" s="20">
        <v>0.0</v>
      </c>
      <c r="Y98" s="20">
        <v>0.0</v>
      </c>
      <c r="Z98" s="20">
        <v>0.0</v>
      </c>
      <c r="AA98" s="20">
        <v>0.0</v>
      </c>
      <c r="AB98" s="20">
        <v>0.0</v>
      </c>
      <c r="AC98" s="20">
        <v>0.0</v>
      </c>
      <c r="AD98" s="20">
        <v>0.0</v>
      </c>
      <c r="AE98" s="20">
        <v>0.0</v>
      </c>
      <c r="AF98" s="20">
        <v>0.0</v>
      </c>
      <c r="AG98" s="20">
        <v>0.0</v>
      </c>
      <c r="AH98" s="19">
        <f t="shared" si="24"/>
        <v>325000</v>
      </c>
    </row>
    <row r="99">
      <c r="A99" s="16" t="s">
        <v>93</v>
      </c>
      <c r="B99" s="27">
        <f t="shared" si="23"/>
        <v>0</v>
      </c>
      <c r="C99" s="20">
        <v>0.0</v>
      </c>
      <c r="D99" s="20">
        <v>0.0</v>
      </c>
      <c r="E99" s="20">
        <v>0.0</v>
      </c>
      <c r="F99" s="20">
        <v>0.0</v>
      </c>
      <c r="G99" s="20">
        <v>0.0</v>
      </c>
      <c r="H99" s="20">
        <v>0.0</v>
      </c>
      <c r="I99" s="20">
        <v>0.0</v>
      </c>
      <c r="J99" s="20">
        <v>0.0</v>
      </c>
      <c r="K99" s="20">
        <v>0.0</v>
      </c>
      <c r="L99" s="20">
        <v>0.0</v>
      </c>
      <c r="M99" s="20">
        <v>0.0</v>
      </c>
      <c r="N99" s="20">
        <v>0.0</v>
      </c>
      <c r="O99" s="20">
        <v>0.0</v>
      </c>
      <c r="P99" s="20">
        <v>0.0</v>
      </c>
      <c r="Q99" s="20">
        <v>0.0</v>
      </c>
      <c r="R99" s="20">
        <v>0.0</v>
      </c>
      <c r="S99" s="20">
        <v>0.0</v>
      </c>
      <c r="T99" s="20">
        <v>0.0</v>
      </c>
      <c r="U99" s="20">
        <v>0.0</v>
      </c>
      <c r="V99" s="20">
        <v>0.0</v>
      </c>
      <c r="W99" s="20">
        <v>0.0</v>
      </c>
      <c r="X99" s="20">
        <v>0.0</v>
      </c>
      <c r="Y99" s="20">
        <v>0.0</v>
      </c>
      <c r="Z99" s="20">
        <v>0.0</v>
      </c>
      <c r="AA99" s="20">
        <v>0.0</v>
      </c>
      <c r="AB99" s="20">
        <v>0.0</v>
      </c>
      <c r="AC99" s="20">
        <v>0.0</v>
      </c>
      <c r="AD99" s="20">
        <v>0.0</v>
      </c>
      <c r="AE99" s="20">
        <v>0.0</v>
      </c>
      <c r="AF99" s="20">
        <v>0.0</v>
      </c>
      <c r="AG99" s="20">
        <v>0.0</v>
      </c>
      <c r="AH99" s="19">
        <f t="shared" si="24"/>
        <v>0</v>
      </c>
    </row>
    <row r="100">
      <c r="A100" s="7"/>
      <c r="B100" s="8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51" t="s">
        <v>94</v>
      </c>
      <c r="B101" s="52">
        <f t="shared" ref="B101:B103" si="26">AH101/$AH$10</f>
        <v>0.08907396066</v>
      </c>
      <c r="C101" s="53">
        <f t="shared" ref="C101:AH101" si="25">SUM(C102:C103)</f>
        <v>0</v>
      </c>
      <c r="D101" s="53">
        <f t="shared" si="25"/>
        <v>0</v>
      </c>
      <c r="E101" s="53">
        <f t="shared" si="25"/>
        <v>0</v>
      </c>
      <c r="F101" s="53">
        <f t="shared" si="25"/>
        <v>0</v>
      </c>
      <c r="G101" s="53">
        <f t="shared" si="25"/>
        <v>0</v>
      </c>
      <c r="H101" s="53">
        <f t="shared" si="25"/>
        <v>0</v>
      </c>
      <c r="I101" s="53">
        <f t="shared" si="25"/>
        <v>0</v>
      </c>
      <c r="J101" s="53">
        <f t="shared" si="25"/>
        <v>0</v>
      </c>
      <c r="K101" s="53">
        <f t="shared" si="25"/>
        <v>0</v>
      </c>
      <c r="L101" s="53">
        <f t="shared" si="25"/>
        <v>0</v>
      </c>
      <c r="M101" s="53">
        <f t="shared" si="25"/>
        <v>0</v>
      </c>
      <c r="N101" s="53">
        <f t="shared" si="25"/>
        <v>0</v>
      </c>
      <c r="O101" s="53">
        <f t="shared" si="25"/>
        <v>0</v>
      </c>
      <c r="P101" s="53">
        <f t="shared" si="25"/>
        <v>0</v>
      </c>
      <c r="Q101" s="53">
        <f t="shared" si="25"/>
        <v>0</v>
      </c>
      <c r="R101" s="53">
        <f t="shared" si="25"/>
        <v>0</v>
      </c>
      <c r="S101" s="53">
        <f t="shared" si="25"/>
        <v>0</v>
      </c>
      <c r="T101" s="53">
        <f t="shared" si="25"/>
        <v>0</v>
      </c>
      <c r="U101" s="53">
        <f t="shared" si="25"/>
        <v>0</v>
      </c>
      <c r="V101" s="53">
        <f t="shared" si="25"/>
        <v>3006912</v>
      </c>
      <c r="W101" s="53">
        <f t="shared" si="25"/>
        <v>0</v>
      </c>
      <c r="X101" s="53">
        <f t="shared" si="25"/>
        <v>0</v>
      </c>
      <c r="Y101" s="53">
        <f t="shared" si="25"/>
        <v>0</v>
      </c>
      <c r="Z101" s="53">
        <f t="shared" si="25"/>
        <v>0</v>
      </c>
      <c r="AA101" s="53">
        <f t="shared" si="25"/>
        <v>0</v>
      </c>
      <c r="AB101" s="53">
        <f t="shared" si="25"/>
        <v>0</v>
      </c>
      <c r="AC101" s="53">
        <f t="shared" si="25"/>
        <v>0</v>
      </c>
      <c r="AD101" s="53">
        <f t="shared" si="25"/>
        <v>0</v>
      </c>
      <c r="AE101" s="53">
        <f t="shared" si="25"/>
        <v>0</v>
      </c>
      <c r="AF101" s="53">
        <f t="shared" si="25"/>
        <v>0</v>
      </c>
      <c r="AG101" s="53">
        <f t="shared" si="25"/>
        <v>0</v>
      </c>
      <c r="AH101" s="54">
        <f t="shared" si="25"/>
        <v>3006912</v>
      </c>
    </row>
    <row r="102">
      <c r="A102" s="16" t="s">
        <v>95</v>
      </c>
      <c r="B102" s="27">
        <f t="shared" si="26"/>
        <v>0</v>
      </c>
      <c r="C102" s="20">
        <v>0.0</v>
      </c>
      <c r="D102" s="20">
        <v>0.0</v>
      </c>
      <c r="E102" s="20">
        <v>0.0</v>
      </c>
      <c r="F102" s="20">
        <v>0.0</v>
      </c>
      <c r="G102" s="20">
        <v>0.0</v>
      </c>
      <c r="H102" s="20">
        <v>0.0</v>
      </c>
      <c r="I102" s="20">
        <v>0.0</v>
      </c>
      <c r="J102" s="20">
        <v>0.0</v>
      </c>
      <c r="K102" s="20">
        <v>0.0</v>
      </c>
      <c r="L102" s="20">
        <v>0.0</v>
      </c>
      <c r="M102" s="20">
        <v>0.0</v>
      </c>
      <c r="N102" s="20">
        <v>0.0</v>
      </c>
      <c r="O102" s="20">
        <v>0.0</v>
      </c>
      <c r="P102" s="20">
        <v>0.0</v>
      </c>
      <c r="Q102" s="20">
        <v>0.0</v>
      </c>
      <c r="R102" s="20">
        <v>0.0</v>
      </c>
      <c r="S102" s="20">
        <v>0.0</v>
      </c>
      <c r="T102" s="20">
        <v>0.0</v>
      </c>
      <c r="U102" s="20">
        <v>0.0</v>
      </c>
      <c r="V102" s="17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20">
        <v>0.0</v>
      </c>
      <c r="AE102" s="20">
        <v>0.0</v>
      </c>
      <c r="AF102" s="20">
        <v>0.0</v>
      </c>
      <c r="AG102" s="20">
        <v>0.0</v>
      </c>
      <c r="AH102" s="19">
        <f t="shared" ref="AH102:AH103" si="27">SUM(C102:AG102)</f>
        <v>0</v>
      </c>
    </row>
    <row r="103">
      <c r="A103" s="16" t="s">
        <v>96</v>
      </c>
      <c r="B103" s="27">
        <f t="shared" si="26"/>
        <v>0.08907396066</v>
      </c>
      <c r="C103" s="20">
        <v>0.0</v>
      </c>
      <c r="D103" s="20">
        <v>0.0</v>
      </c>
      <c r="E103" s="20">
        <v>0.0</v>
      </c>
      <c r="F103" s="20">
        <v>0.0</v>
      </c>
      <c r="G103" s="20">
        <v>0.0</v>
      </c>
      <c r="H103" s="20">
        <v>0.0</v>
      </c>
      <c r="I103" s="20">
        <v>0.0</v>
      </c>
      <c r="J103" s="20">
        <v>0.0</v>
      </c>
      <c r="K103" s="20">
        <v>0.0</v>
      </c>
      <c r="L103" s="20">
        <v>0.0</v>
      </c>
      <c r="M103" s="20">
        <v>0.0</v>
      </c>
      <c r="N103" s="20">
        <v>0.0</v>
      </c>
      <c r="O103" s="20">
        <v>0.0</v>
      </c>
      <c r="P103" s="20">
        <v>0.0</v>
      </c>
      <c r="Q103" s="20">
        <v>0.0</v>
      </c>
      <c r="R103" s="20">
        <v>0.0</v>
      </c>
      <c r="S103" s="20">
        <v>0.0</v>
      </c>
      <c r="T103" s="17">
        <v>0.0</v>
      </c>
      <c r="U103" s="17">
        <v>0.0</v>
      </c>
      <c r="V103" s="17">
        <v>3006912.0</v>
      </c>
      <c r="W103" s="20">
        <v>0.0</v>
      </c>
      <c r="X103" s="20">
        <v>0.0</v>
      </c>
      <c r="Y103" s="20">
        <v>0.0</v>
      </c>
      <c r="Z103" s="20">
        <v>0.0</v>
      </c>
      <c r="AA103" s="17">
        <v>0.0</v>
      </c>
      <c r="AB103" s="20">
        <v>0.0</v>
      </c>
      <c r="AC103" s="20">
        <v>0.0</v>
      </c>
      <c r="AD103" s="20">
        <v>0.0</v>
      </c>
      <c r="AE103" s="20">
        <v>0.0</v>
      </c>
      <c r="AF103" s="20">
        <v>0.0</v>
      </c>
      <c r="AG103" s="20">
        <v>0.0</v>
      </c>
      <c r="AH103" s="19">
        <f t="shared" si="27"/>
        <v>3006912</v>
      </c>
    </row>
    <row r="104">
      <c r="A104" s="7"/>
      <c r="B104" s="8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7"/>
      <c r="AH104" s="7"/>
    </row>
    <row r="105">
      <c r="A105" s="55" t="s">
        <v>97</v>
      </c>
      <c r="B105" s="56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8"/>
      <c r="AH105" s="38">
        <f>AH106+AH107</f>
        <v>0</v>
      </c>
    </row>
    <row r="106">
      <c r="A106" s="16" t="s">
        <v>98</v>
      </c>
      <c r="B106" s="8"/>
      <c r="C106" s="20">
        <v>0.0</v>
      </c>
      <c r="D106" s="20">
        <v>0.0</v>
      </c>
      <c r="E106" s="20">
        <v>0.0</v>
      </c>
      <c r="F106" s="20">
        <v>0.0</v>
      </c>
      <c r="G106" s="20">
        <v>0.0</v>
      </c>
      <c r="H106" s="20">
        <v>0.0</v>
      </c>
      <c r="I106" s="20">
        <v>0.0</v>
      </c>
      <c r="J106" s="20">
        <v>0.0</v>
      </c>
      <c r="K106" s="20">
        <v>0.0</v>
      </c>
      <c r="L106" s="20">
        <v>0.0</v>
      </c>
      <c r="M106" s="20">
        <v>0.0</v>
      </c>
      <c r="N106" s="20">
        <v>0.0</v>
      </c>
      <c r="O106" s="20">
        <v>0.0</v>
      </c>
      <c r="P106" s="20">
        <v>0.0</v>
      </c>
      <c r="Q106" s="20">
        <v>0.0</v>
      </c>
      <c r="R106" s="20">
        <v>0.0</v>
      </c>
      <c r="S106" s="20">
        <v>0.0</v>
      </c>
      <c r="T106" s="20">
        <v>0.0</v>
      </c>
      <c r="U106" s="20">
        <v>0.0</v>
      </c>
      <c r="V106" s="20">
        <v>0.0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17">
        <v>0.0</v>
      </c>
      <c r="AC106" s="20">
        <v>0.0</v>
      </c>
      <c r="AD106" s="20">
        <v>0.0</v>
      </c>
      <c r="AE106" s="17">
        <v>0.0</v>
      </c>
      <c r="AF106" s="20">
        <v>0.0</v>
      </c>
      <c r="AG106" s="20">
        <v>0.0</v>
      </c>
      <c r="AH106" s="59">
        <f t="shared" ref="AH106:AH107" si="28">sum(C106:AG106)</f>
        <v>0</v>
      </c>
    </row>
    <row r="107">
      <c r="A107" s="7"/>
      <c r="B107" s="8"/>
      <c r="C107" s="20">
        <v>0.0</v>
      </c>
      <c r="D107" s="20">
        <v>0.0</v>
      </c>
      <c r="E107" s="20">
        <v>0.0</v>
      </c>
      <c r="F107" s="20">
        <v>0.0</v>
      </c>
      <c r="G107" s="20">
        <v>0.0</v>
      </c>
      <c r="H107" s="20">
        <v>0.0</v>
      </c>
      <c r="I107" s="20">
        <v>0.0</v>
      </c>
      <c r="J107" s="20">
        <v>0.0</v>
      </c>
      <c r="K107" s="20">
        <v>0.0</v>
      </c>
      <c r="L107" s="20">
        <v>0.0</v>
      </c>
      <c r="M107" s="20">
        <v>0.0</v>
      </c>
      <c r="N107" s="20">
        <v>0.0</v>
      </c>
      <c r="O107" s="20">
        <v>0.0</v>
      </c>
      <c r="P107" s="20">
        <v>0.0</v>
      </c>
      <c r="Q107" s="20">
        <v>0.0</v>
      </c>
      <c r="R107" s="20">
        <v>0.0</v>
      </c>
      <c r="S107" s="20">
        <v>0.0</v>
      </c>
      <c r="T107" s="20">
        <v>0.0</v>
      </c>
      <c r="U107" s="20">
        <v>0.0</v>
      </c>
      <c r="V107" s="20">
        <v>0.0</v>
      </c>
      <c r="W107" s="20">
        <v>0.0</v>
      </c>
      <c r="X107" s="20">
        <v>0.0</v>
      </c>
      <c r="Y107" s="20">
        <v>0.0</v>
      </c>
      <c r="Z107" s="20">
        <v>0.0</v>
      </c>
      <c r="AA107" s="20">
        <v>0.0</v>
      </c>
      <c r="AB107" s="20">
        <v>0.0</v>
      </c>
      <c r="AC107" s="20">
        <v>0.0</v>
      </c>
      <c r="AD107" s="20">
        <v>0.0</v>
      </c>
      <c r="AE107" s="20">
        <v>0.0</v>
      </c>
      <c r="AF107" s="20">
        <v>0.0</v>
      </c>
      <c r="AG107" s="20">
        <v>0.0</v>
      </c>
      <c r="AH107" s="59">
        <f t="shared" si="28"/>
        <v>0</v>
      </c>
    </row>
    <row r="108">
      <c r="A108" s="7"/>
      <c r="B108" s="8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7"/>
      <c r="AH108" s="7"/>
    </row>
    <row r="109">
      <c r="A109" s="60" t="s">
        <v>99</v>
      </c>
      <c r="B109" s="61"/>
      <c r="C109" s="62">
        <f t="shared" ref="C109:AG109" si="29">C101+C90+C84+C34+C78+C12+C106+C107</f>
        <v>1879597</v>
      </c>
      <c r="D109" s="62">
        <f t="shared" si="29"/>
        <v>247720</v>
      </c>
      <c r="E109" s="62">
        <f t="shared" si="29"/>
        <v>1083171</v>
      </c>
      <c r="F109" s="62">
        <f t="shared" si="29"/>
        <v>70746</v>
      </c>
      <c r="G109" s="62">
        <f t="shared" si="29"/>
        <v>150000</v>
      </c>
      <c r="H109" s="62">
        <f t="shared" si="29"/>
        <v>1138192</v>
      </c>
      <c r="I109" s="62">
        <f t="shared" si="29"/>
        <v>3444080</v>
      </c>
      <c r="J109" s="62">
        <f t="shared" si="29"/>
        <v>1416548</v>
      </c>
      <c r="K109" s="62">
        <f t="shared" si="29"/>
        <v>1286424</v>
      </c>
      <c r="L109" s="62">
        <f t="shared" si="29"/>
        <v>1161998</v>
      </c>
      <c r="M109" s="62">
        <f t="shared" si="29"/>
        <v>2077859</v>
      </c>
      <c r="N109" s="62">
        <f t="shared" si="29"/>
        <v>750000</v>
      </c>
      <c r="O109" s="62">
        <f t="shared" si="29"/>
        <v>945723</v>
      </c>
      <c r="P109" s="62">
        <f t="shared" si="29"/>
        <v>2717286</v>
      </c>
      <c r="Q109" s="62">
        <f t="shared" si="29"/>
        <v>1888972</v>
      </c>
      <c r="R109" s="62">
        <f t="shared" si="29"/>
        <v>365500</v>
      </c>
      <c r="S109" s="62">
        <f t="shared" si="29"/>
        <v>1681622</v>
      </c>
      <c r="T109" s="62">
        <f t="shared" si="29"/>
        <v>232015</v>
      </c>
      <c r="U109" s="62">
        <f t="shared" si="29"/>
        <v>16706</v>
      </c>
      <c r="V109" s="62">
        <f t="shared" si="29"/>
        <v>3106912</v>
      </c>
      <c r="W109" s="62">
        <f t="shared" si="29"/>
        <v>1017584</v>
      </c>
      <c r="X109" s="62">
        <f t="shared" si="29"/>
        <v>209197</v>
      </c>
      <c r="Y109" s="62">
        <f t="shared" si="29"/>
        <v>908550</v>
      </c>
      <c r="Z109" s="62">
        <f t="shared" si="29"/>
        <v>1600863</v>
      </c>
      <c r="AA109" s="62">
        <f t="shared" si="29"/>
        <v>543205</v>
      </c>
      <c r="AB109" s="62">
        <f t="shared" si="29"/>
        <v>0</v>
      </c>
      <c r="AC109" s="62">
        <f t="shared" si="29"/>
        <v>624490</v>
      </c>
      <c r="AD109" s="62">
        <f t="shared" si="29"/>
        <v>1235996</v>
      </c>
      <c r="AE109" s="62">
        <f t="shared" si="29"/>
        <v>632429</v>
      </c>
      <c r="AF109" s="62">
        <f t="shared" si="29"/>
        <v>150492</v>
      </c>
      <c r="AG109" s="62">
        <f t="shared" si="29"/>
        <v>8177168</v>
      </c>
      <c r="AH109" s="63">
        <f>sum(C109:AF109)</f>
        <v>32583877</v>
      </c>
    </row>
    <row r="110">
      <c r="A110" s="64" t="s">
        <v>100</v>
      </c>
      <c r="B110" s="65"/>
      <c r="C110" s="63">
        <f t="shared" ref="C110:AG110" si="30">C101+C90+C34+C78+C12</f>
        <v>1879597</v>
      </c>
      <c r="D110" s="63">
        <f t="shared" si="30"/>
        <v>247720</v>
      </c>
      <c r="E110" s="63">
        <f t="shared" si="30"/>
        <v>458245</v>
      </c>
      <c r="F110" s="63">
        <f t="shared" si="30"/>
        <v>70746</v>
      </c>
      <c r="G110" s="63">
        <f t="shared" si="30"/>
        <v>150000</v>
      </c>
      <c r="H110" s="63">
        <f t="shared" si="30"/>
        <v>701002</v>
      </c>
      <c r="I110" s="63">
        <f t="shared" si="30"/>
        <v>3444080</v>
      </c>
      <c r="J110" s="63">
        <f t="shared" si="30"/>
        <v>1416548</v>
      </c>
      <c r="K110" s="63">
        <f t="shared" si="30"/>
        <v>1286424</v>
      </c>
      <c r="L110" s="63">
        <f t="shared" si="30"/>
        <v>643632</v>
      </c>
      <c r="M110" s="63">
        <f t="shared" si="30"/>
        <v>2077859</v>
      </c>
      <c r="N110" s="63">
        <f t="shared" si="30"/>
        <v>750000</v>
      </c>
      <c r="O110" s="63">
        <f t="shared" si="30"/>
        <v>497000</v>
      </c>
      <c r="P110" s="63">
        <f t="shared" si="30"/>
        <v>2717286</v>
      </c>
      <c r="Q110" s="63">
        <f t="shared" si="30"/>
        <v>1888972</v>
      </c>
      <c r="R110" s="63">
        <f t="shared" si="30"/>
        <v>365500</v>
      </c>
      <c r="S110" s="63">
        <f t="shared" si="30"/>
        <v>1106979</v>
      </c>
      <c r="T110" s="63">
        <f t="shared" si="30"/>
        <v>232015</v>
      </c>
      <c r="U110" s="63">
        <f t="shared" si="30"/>
        <v>16706</v>
      </c>
      <c r="V110" s="63">
        <f t="shared" si="30"/>
        <v>3106912</v>
      </c>
      <c r="W110" s="63">
        <f t="shared" si="30"/>
        <v>715880</v>
      </c>
      <c r="X110" s="63">
        <f t="shared" si="30"/>
        <v>209197</v>
      </c>
      <c r="Y110" s="63">
        <f t="shared" si="30"/>
        <v>908550</v>
      </c>
      <c r="Z110" s="63">
        <f t="shared" si="30"/>
        <v>1104000</v>
      </c>
      <c r="AA110" s="63">
        <f t="shared" si="30"/>
        <v>543205</v>
      </c>
      <c r="AB110" s="63">
        <f t="shared" si="30"/>
        <v>0</v>
      </c>
      <c r="AC110" s="63">
        <f t="shared" si="30"/>
        <v>309541</v>
      </c>
      <c r="AD110" s="63">
        <f t="shared" si="30"/>
        <v>1235996</v>
      </c>
      <c r="AE110" s="63">
        <f t="shared" si="30"/>
        <v>632429</v>
      </c>
      <c r="AF110" s="63">
        <f t="shared" si="30"/>
        <v>150492</v>
      </c>
      <c r="AG110" s="63">
        <f t="shared" si="30"/>
        <v>7629123</v>
      </c>
      <c r="AH110" s="63">
        <f>sum(C110:AG110)</f>
        <v>36495636</v>
      </c>
    </row>
    <row r="111">
      <c r="A111" s="7"/>
      <c r="B111" s="8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7"/>
      <c r="AH111" s="7"/>
    </row>
    <row r="112">
      <c r="A112" s="21" t="s">
        <v>101</v>
      </c>
      <c r="B112" s="27">
        <f>AH112/$AH$10</f>
        <v>-0.08111273133</v>
      </c>
      <c r="C112" s="22">
        <f t="shared" ref="C112:AG112" si="31">C9-C110</f>
        <v>-701511</v>
      </c>
      <c r="D112" s="22">
        <f t="shared" si="31"/>
        <v>981093</v>
      </c>
      <c r="E112" s="22">
        <f t="shared" si="31"/>
        <v>853222</v>
      </c>
      <c r="F112" s="22">
        <f t="shared" si="31"/>
        <v>1454028</v>
      </c>
      <c r="G112" s="22">
        <f t="shared" si="31"/>
        <v>1631576</v>
      </c>
      <c r="H112" s="22">
        <f t="shared" si="31"/>
        <v>246087</v>
      </c>
      <c r="I112" s="22">
        <f t="shared" si="31"/>
        <v>-2574587</v>
      </c>
      <c r="J112" s="22">
        <f t="shared" si="31"/>
        <v>39661</v>
      </c>
      <c r="K112" s="22">
        <f t="shared" si="31"/>
        <v>-466566</v>
      </c>
      <c r="L112" s="22">
        <f t="shared" si="31"/>
        <v>354502</v>
      </c>
      <c r="M112" s="22">
        <f t="shared" si="31"/>
        <v>-691950</v>
      </c>
      <c r="N112" s="22">
        <f t="shared" si="31"/>
        <v>1703599</v>
      </c>
      <c r="O112" s="22">
        <f t="shared" si="31"/>
        <v>1087952</v>
      </c>
      <c r="P112" s="22">
        <f t="shared" si="31"/>
        <v>-2312393</v>
      </c>
      <c r="Q112" s="22">
        <f t="shared" si="31"/>
        <v>157537</v>
      </c>
      <c r="R112" s="22">
        <f t="shared" si="31"/>
        <v>958659</v>
      </c>
      <c r="S112" s="22">
        <f t="shared" si="31"/>
        <v>27289</v>
      </c>
      <c r="T112" s="22">
        <f t="shared" si="31"/>
        <v>587799</v>
      </c>
      <c r="U112" s="22">
        <f t="shared" si="31"/>
        <v>994991</v>
      </c>
      <c r="V112" s="22">
        <f t="shared" si="31"/>
        <v>-2280563</v>
      </c>
      <c r="W112" s="22">
        <f t="shared" si="31"/>
        <v>171597</v>
      </c>
      <c r="X112" s="22">
        <f t="shared" si="31"/>
        <v>647539</v>
      </c>
      <c r="Y112" s="22">
        <f t="shared" si="31"/>
        <v>197700</v>
      </c>
      <c r="Z112" s="22">
        <f t="shared" si="31"/>
        <v>-334359</v>
      </c>
      <c r="AA112" s="22">
        <f t="shared" si="31"/>
        <v>1030318</v>
      </c>
      <c r="AB112" s="22">
        <f t="shared" si="31"/>
        <v>1661770</v>
      </c>
      <c r="AC112" s="22">
        <f t="shared" si="31"/>
        <v>735066</v>
      </c>
      <c r="AD112" s="22">
        <f t="shared" si="31"/>
        <v>-97186</v>
      </c>
      <c r="AE112" s="22">
        <f t="shared" si="31"/>
        <v>568956</v>
      </c>
      <c r="AF112" s="22">
        <f t="shared" si="31"/>
        <v>961830</v>
      </c>
      <c r="AG112" s="22">
        <f t="shared" si="31"/>
        <v>-6066408</v>
      </c>
      <c r="AH112" s="19">
        <f>AH10-AH110</f>
        <v>-2738161</v>
      </c>
    </row>
    <row r="113">
      <c r="A113" s="7"/>
      <c r="B113" s="8"/>
      <c r="C113" s="66"/>
      <c r="D113" s="66"/>
      <c r="E113" s="66"/>
      <c r="F113" s="66"/>
      <c r="G113" s="66"/>
      <c r="H113" s="6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7"/>
      <c r="B1002" s="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7"/>
      <c r="B1003" s="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7"/>
      <c r="B1004" s="8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7"/>
      <c r="B1005" s="8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7"/>
      <c r="B1006" s="8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7"/>
      <c r="B1007" s="8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7"/>
      <c r="B1008" s="8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7"/>
      <c r="B1009" s="8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7"/>
      <c r="B1010" s="8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7"/>
      <c r="B1011" s="8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7"/>
      <c r="B1012" s="8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7"/>
      <c r="B1013" s="8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7"/>
      <c r="B1014" s="8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7"/>
      <c r="B1015" s="8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7"/>
      <c r="B1016" s="8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>
      <c r="A1017" s="7"/>
      <c r="B1017" s="8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>
      <c r="A1018" s="7"/>
      <c r="B1018" s="8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>
      <c r="A1019" s="7"/>
      <c r="B1019" s="8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>
      <c r="A1020" s="7"/>
      <c r="B1020" s="8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>
      <c r="A1021" s="7"/>
      <c r="B1021" s="8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>
      <c r="A1022" s="7"/>
      <c r="B1022" s="8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>
      <c r="A1023" s="7"/>
      <c r="B1023" s="8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>
      <c r="A1024" s="7"/>
      <c r="B1024" s="8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>
      <c r="A1025" s="7"/>
      <c r="B1025" s="8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>
      <c r="A1026" s="7"/>
      <c r="B1026" s="8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>
      <c r="A1027" s="7"/>
      <c r="B1027" s="8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>
      <c r="A1028" s="7"/>
      <c r="B1028" s="8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>
      <c r="A1029" s="7"/>
      <c r="B1029" s="8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>
      <c r="A1030" s="7"/>
      <c r="B1030" s="8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>
      <c r="A1031" s="7"/>
      <c r="B1031" s="8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>
      <c r="A1032" s="7"/>
      <c r="B1032" s="8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>
      <c r="A1033" s="7"/>
      <c r="B1033" s="8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>
      <c r="A1034" s="7"/>
      <c r="B1034" s="8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>
      <c r="A1035" s="7"/>
      <c r="B1035" s="8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>
      <c r="A1036" s="7"/>
      <c r="B1036" s="8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>
      <c r="A1037" s="7"/>
      <c r="B1037" s="8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>
      <c r="A1038" s="7"/>
      <c r="B1038" s="8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>
      <c r="A1039" s="7"/>
      <c r="B1039" s="8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>
      <c r="A1040" s="7"/>
      <c r="B1040" s="8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>
      <c r="A1041" s="7"/>
      <c r="B1041" s="8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>
      <c r="A1042" s="7"/>
      <c r="B1042" s="8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>
      <c r="A1043" s="7"/>
      <c r="B1043" s="8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>
      <c r="A1044" s="7"/>
      <c r="B1044" s="8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>
      <c r="A1045" s="7"/>
      <c r="B1045" s="8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>
      <c r="A1046" s="7"/>
      <c r="B1046" s="8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>
      <c r="A1047" s="7"/>
      <c r="B1047" s="8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>
      <c r="A1048" s="7"/>
      <c r="B1048" s="8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>
      <c r="A1049" s="7"/>
      <c r="B1049" s="8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</row>
    <row r="1050">
      <c r="A1050" s="7"/>
      <c r="B1050" s="8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  <row r="1051">
      <c r="A1051" s="7"/>
      <c r="B1051" s="8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</row>
    <row r="1052">
      <c r="A1052" s="7"/>
      <c r="B1052" s="8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63"/>
  </cols>
  <sheetData>
    <row r="1">
      <c r="A1" s="1"/>
      <c r="B1" s="3"/>
      <c r="C1" s="4">
        <v>46235.0</v>
      </c>
      <c r="D1" s="4">
        <v>46236.0</v>
      </c>
      <c r="E1" s="4">
        <v>46237.0</v>
      </c>
      <c r="F1" s="4">
        <v>46238.0</v>
      </c>
      <c r="G1" s="4">
        <v>46239.0</v>
      </c>
      <c r="H1" s="4">
        <v>46240.0</v>
      </c>
      <c r="I1" s="4">
        <v>46241.0</v>
      </c>
      <c r="J1" s="4">
        <v>46242.0</v>
      </c>
      <c r="K1" s="4">
        <v>46243.0</v>
      </c>
      <c r="L1" s="4">
        <v>46244.0</v>
      </c>
      <c r="M1" s="4">
        <v>46245.0</v>
      </c>
      <c r="N1" s="4">
        <v>46246.0</v>
      </c>
      <c r="O1" s="4">
        <v>46247.0</v>
      </c>
      <c r="P1" s="4">
        <v>46248.0</v>
      </c>
      <c r="Q1" s="4">
        <v>46249.0</v>
      </c>
      <c r="R1" s="4">
        <v>46250.0</v>
      </c>
      <c r="S1" s="4">
        <v>46251.0</v>
      </c>
      <c r="T1" s="4">
        <v>46252.0</v>
      </c>
      <c r="U1" s="4">
        <v>46253.0</v>
      </c>
      <c r="V1" s="4">
        <v>46254.0</v>
      </c>
      <c r="W1" s="4">
        <v>46255.0</v>
      </c>
      <c r="X1" s="4">
        <v>46256.0</v>
      </c>
      <c r="Y1" s="4">
        <v>46257.0</v>
      </c>
      <c r="Z1" s="4">
        <v>46258.0</v>
      </c>
      <c r="AA1" s="4">
        <v>46259.0</v>
      </c>
      <c r="AB1" s="4">
        <v>46260.0</v>
      </c>
      <c r="AC1" s="4">
        <v>46261.0</v>
      </c>
      <c r="AD1" s="4">
        <v>46262.0</v>
      </c>
      <c r="AE1" s="4">
        <v>46263.0</v>
      </c>
      <c r="AF1" s="4">
        <v>46264.0</v>
      </c>
      <c r="AG1" s="4">
        <v>46265.0</v>
      </c>
      <c r="AH1" s="6" t="s">
        <v>1</v>
      </c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7"/>
      <c r="AH2" s="7"/>
    </row>
    <row r="3">
      <c r="A3" s="7"/>
      <c r="B3" s="8"/>
      <c r="C3" s="10"/>
      <c r="D3" s="10"/>
      <c r="E3" s="10"/>
      <c r="F3" s="10"/>
      <c r="G3" s="10"/>
      <c r="H3" s="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11" t="s">
        <v>2</v>
      </c>
      <c r="B4" s="12"/>
      <c r="C4" s="13"/>
      <c r="D4" s="13"/>
      <c r="E4" s="13"/>
      <c r="F4" s="13"/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16" t="s">
        <v>3</v>
      </c>
      <c r="B5" s="8"/>
      <c r="C5" s="17">
        <f>987348+539738+14568+27801+70100</f>
        <v>1639555</v>
      </c>
      <c r="D5" s="17">
        <f>1570023+1130748+18135+148368</f>
        <v>2867274</v>
      </c>
      <c r="E5" s="17">
        <f>428835+257478</f>
        <v>686313</v>
      </c>
      <c r="F5" s="17">
        <f>444135+80611</f>
        <v>524746</v>
      </c>
      <c r="G5" s="17">
        <f>50718+867354+569412</f>
        <v>1487484</v>
      </c>
      <c r="H5" s="17">
        <f>667630+442877+179357</f>
        <v>1289864</v>
      </c>
      <c r="I5" s="17">
        <f>81499+646035+848899</f>
        <v>1576433</v>
      </c>
      <c r="J5" s="17">
        <f>787398+578620+77423</f>
        <v>1443441</v>
      </c>
      <c r="K5" s="17">
        <f>35573+1436494+580620+75430</f>
        <v>2128117</v>
      </c>
      <c r="L5" s="17">
        <f>26306+464138+602042</f>
        <v>1092486</v>
      </c>
      <c r="M5" s="17">
        <f>130978+45238+63413</f>
        <v>239629</v>
      </c>
      <c r="N5" s="17">
        <f>346994+623795+28796</f>
        <v>999585</v>
      </c>
      <c r="O5" s="17">
        <f>365771+435991</f>
        <v>801762</v>
      </c>
      <c r="P5" s="17">
        <v>0.0</v>
      </c>
      <c r="Q5" s="17">
        <v>0.0</v>
      </c>
      <c r="R5" s="17">
        <v>0.0</v>
      </c>
      <c r="S5" s="17">
        <v>0.0</v>
      </c>
      <c r="T5" s="17">
        <v>0.0</v>
      </c>
      <c r="U5" s="17">
        <v>0.0</v>
      </c>
      <c r="V5" s="17">
        <v>0.0</v>
      </c>
      <c r="W5" s="17">
        <v>0.0</v>
      </c>
      <c r="X5" s="17">
        <v>0.0</v>
      </c>
      <c r="Y5" s="17">
        <v>0.0</v>
      </c>
      <c r="Z5" s="17">
        <v>0.0</v>
      </c>
      <c r="AA5" s="17">
        <v>0.0</v>
      </c>
      <c r="AB5" s="17">
        <v>0.0</v>
      </c>
      <c r="AC5" s="17">
        <v>0.0</v>
      </c>
      <c r="AD5" s="17">
        <v>0.0</v>
      </c>
      <c r="AE5" s="17">
        <v>0.0</v>
      </c>
      <c r="AF5" s="17">
        <v>0.0</v>
      </c>
      <c r="AG5" s="17">
        <v>0.0</v>
      </c>
      <c r="AH5" s="19">
        <f t="shared" ref="AH5:AH8" si="1">SUM(C5:AG5)</f>
        <v>16776689</v>
      </c>
    </row>
    <row r="6">
      <c r="A6" s="16" t="s">
        <v>4</v>
      </c>
      <c r="B6" s="8"/>
      <c r="C6" s="17">
        <v>0.0</v>
      </c>
      <c r="D6" s="17">
        <v>0.0</v>
      </c>
      <c r="E6" s="17">
        <v>0.0</v>
      </c>
      <c r="F6" s="17">
        <v>0.0</v>
      </c>
      <c r="G6" s="17">
        <v>0.0</v>
      </c>
      <c r="H6" s="17">
        <v>5000.0</v>
      </c>
      <c r="I6" s="17">
        <v>29500.0</v>
      </c>
      <c r="J6" s="17">
        <v>4150.0</v>
      </c>
      <c r="K6" s="17">
        <v>0.0</v>
      </c>
      <c r="L6" s="17">
        <v>0.0</v>
      </c>
      <c r="M6" s="17">
        <v>26300.0</v>
      </c>
      <c r="N6" s="17">
        <v>0.0</v>
      </c>
      <c r="O6" s="17">
        <v>0.0</v>
      </c>
      <c r="P6" s="17">
        <v>0.0</v>
      </c>
      <c r="Q6" s="17">
        <v>0.0</v>
      </c>
      <c r="R6" s="17">
        <v>0.0</v>
      </c>
      <c r="S6" s="17">
        <v>0.0</v>
      </c>
      <c r="T6" s="17">
        <v>0.0</v>
      </c>
      <c r="U6" s="17">
        <v>0.0</v>
      </c>
      <c r="V6" s="17">
        <v>0.0</v>
      </c>
      <c r="W6" s="17">
        <v>0.0</v>
      </c>
      <c r="X6" s="17">
        <v>0.0</v>
      </c>
      <c r="Y6" s="17">
        <v>0.0</v>
      </c>
      <c r="Z6" s="17">
        <v>0.0</v>
      </c>
      <c r="AA6" s="17">
        <v>0.0</v>
      </c>
      <c r="AB6" s="17">
        <v>0.0</v>
      </c>
      <c r="AC6" s="17">
        <v>0.0</v>
      </c>
      <c r="AD6" s="17">
        <v>0.0</v>
      </c>
      <c r="AE6" s="17">
        <v>0.0</v>
      </c>
      <c r="AF6" s="17">
        <v>0.0</v>
      </c>
      <c r="AG6" s="17">
        <v>0.0</v>
      </c>
      <c r="AH6" s="19">
        <f t="shared" si="1"/>
        <v>64950</v>
      </c>
    </row>
    <row r="7">
      <c r="A7" s="16" t="s">
        <v>5</v>
      </c>
      <c r="B7" s="8"/>
      <c r="C7" s="17">
        <v>0.0</v>
      </c>
      <c r="D7" s="17">
        <v>0.0</v>
      </c>
      <c r="E7" s="17">
        <v>0.0</v>
      </c>
      <c r="F7" s="17">
        <v>0.0</v>
      </c>
      <c r="G7" s="17">
        <v>0.0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17">
        <v>0.0</v>
      </c>
      <c r="Z7" s="17">
        <v>0.0</v>
      </c>
      <c r="AA7" s="17">
        <v>0.0</v>
      </c>
      <c r="AB7" s="17">
        <v>0.0</v>
      </c>
      <c r="AC7" s="17">
        <v>0.0</v>
      </c>
      <c r="AD7" s="17">
        <v>0.0</v>
      </c>
      <c r="AE7" s="17">
        <v>0.0</v>
      </c>
      <c r="AF7" s="17">
        <v>0.0</v>
      </c>
      <c r="AG7" s="17">
        <v>0.0</v>
      </c>
      <c r="AH7" s="19">
        <f t="shared" si="1"/>
        <v>0</v>
      </c>
    </row>
    <row r="8">
      <c r="A8" s="16" t="s">
        <v>6</v>
      </c>
      <c r="B8" s="8"/>
      <c r="C8" s="17">
        <v>0.0</v>
      </c>
      <c r="D8" s="17">
        <v>0.0</v>
      </c>
      <c r="E8" s="17">
        <v>0.0</v>
      </c>
      <c r="F8" s="17">
        <f>450881+247823</f>
        <v>698704</v>
      </c>
      <c r="G8" s="17">
        <v>0.0</v>
      </c>
      <c r="H8" s="17">
        <v>0.0</v>
      </c>
      <c r="I8" s="17">
        <v>0.0</v>
      </c>
      <c r="J8" s="17">
        <v>0.0</v>
      </c>
      <c r="K8" s="17">
        <v>0.0</v>
      </c>
      <c r="L8" s="17">
        <v>0.0</v>
      </c>
      <c r="M8" s="17">
        <f>117502+626944</f>
        <v>744446</v>
      </c>
      <c r="N8" s="17">
        <v>0.0</v>
      </c>
      <c r="O8" s="17">
        <v>0.0</v>
      </c>
      <c r="P8" s="17">
        <v>0.0</v>
      </c>
      <c r="Q8" s="17">
        <v>0.0</v>
      </c>
      <c r="R8" s="17">
        <v>0.0</v>
      </c>
      <c r="S8" s="17">
        <v>0.0</v>
      </c>
      <c r="T8" s="17">
        <v>0.0</v>
      </c>
      <c r="U8" s="17">
        <v>0.0</v>
      </c>
      <c r="V8" s="17">
        <v>0.0</v>
      </c>
      <c r="W8" s="17">
        <v>0.0</v>
      </c>
      <c r="X8" s="17">
        <v>0.0</v>
      </c>
      <c r="Y8" s="17">
        <v>0.0</v>
      </c>
      <c r="Z8" s="17">
        <v>0.0</v>
      </c>
      <c r="AA8" s="17">
        <v>0.0</v>
      </c>
      <c r="AB8" s="17">
        <v>0.0</v>
      </c>
      <c r="AC8" s="17">
        <v>0.0</v>
      </c>
      <c r="AD8" s="17">
        <v>0.0</v>
      </c>
      <c r="AE8" s="17">
        <v>0.0</v>
      </c>
      <c r="AF8" s="17">
        <v>0.0</v>
      </c>
      <c r="AG8" s="17">
        <v>0.0</v>
      </c>
      <c r="AH8" s="19">
        <f t="shared" si="1"/>
        <v>1443150</v>
      </c>
    </row>
    <row r="9">
      <c r="A9" s="21" t="s">
        <v>7</v>
      </c>
      <c r="B9" s="8"/>
      <c r="C9" s="22">
        <f t="shared" ref="C9:AH9" si="2">SUM(C5:C8)</f>
        <v>1639555</v>
      </c>
      <c r="D9" s="22">
        <f t="shared" si="2"/>
        <v>2867274</v>
      </c>
      <c r="E9" s="22">
        <f t="shared" si="2"/>
        <v>686313</v>
      </c>
      <c r="F9" s="22">
        <f t="shared" si="2"/>
        <v>1223450</v>
      </c>
      <c r="G9" s="22">
        <f t="shared" si="2"/>
        <v>1487484</v>
      </c>
      <c r="H9" s="22">
        <f t="shared" si="2"/>
        <v>1294864</v>
      </c>
      <c r="I9" s="22">
        <f t="shared" si="2"/>
        <v>1605933</v>
      </c>
      <c r="J9" s="22">
        <f t="shared" si="2"/>
        <v>1447591</v>
      </c>
      <c r="K9" s="22">
        <f t="shared" si="2"/>
        <v>2128117</v>
      </c>
      <c r="L9" s="22">
        <f t="shared" si="2"/>
        <v>1092486</v>
      </c>
      <c r="M9" s="22">
        <f t="shared" si="2"/>
        <v>1010375</v>
      </c>
      <c r="N9" s="22">
        <f t="shared" si="2"/>
        <v>999585</v>
      </c>
      <c r="O9" s="22">
        <f t="shared" si="2"/>
        <v>801762</v>
      </c>
      <c r="P9" s="22">
        <f t="shared" si="2"/>
        <v>0</v>
      </c>
      <c r="Q9" s="22">
        <f t="shared" si="2"/>
        <v>0</v>
      </c>
      <c r="R9" s="22">
        <f t="shared" si="2"/>
        <v>0</v>
      </c>
      <c r="S9" s="22">
        <f t="shared" si="2"/>
        <v>0</v>
      </c>
      <c r="T9" s="22">
        <f t="shared" si="2"/>
        <v>0</v>
      </c>
      <c r="U9" s="22">
        <f t="shared" si="2"/>
        <v>0</v>
      </c>
      <c r="V9" s="22">
        <f t="shared" si="2"/>
        <v>0</v>
      </c>
      <c r="W9" s="22">
        <f t="shared" si="2"/>
        <v>0</v>
      </c>
      <c r="X9" s="22">
        <f t="shared" si="2"/>
        <v>0</v>
      </c>
      <c r="Y9" s="22">
        <f t="shared" si="2"/>
        <v>0</v>
      </c>
      <c r="Z9" s="22">
        <f t="shared" si="2"/>
        <v>0</v>
      </c>
      <c r="AA9" s="22">
        <f t="shared" si="2"/>
        <v>0</v>
      </c>
      <c r="AB9" s="22">
        <f t="shared" si="2"/>
        <v>0</v>
      </c>
      <c r="AC9" s="22">
        <f t="shared" si="2"/>
        <v>0</v>
      </c>
      <c r="AD9" s="22">
        <f t="shared" si="2"/>
        <v>0</v>
      </c>
      <c r="AE9" s="22">
        <f t="shared" si="2"/>
        <v>0</v>
      </c>
      <c r="AF9" s="22">
        <f t="shared" si="2"/>
        <v>0</v>
      </c>
      <c r="AG9" s="22">
        <f t="shared" si="2"/>
        <v>0</v>
      </c>
      <c r="AH9" s="19">
        <f t="shared" si="2"/>
        <v>18284789</v>
      </c>
    </row>
    <row r="10">
      <c r="A10" s="21" t="s">
        <v>8</v>
      </c>
      <c r="B10" s="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9">
        <f>AH9-AH84</f>
        <v>16887633</v>
      </c>
    </row>
    <row r="11">
      <c r="A11" s="7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7"/>
      <c r="AC11" s="10"/>
      <c r="AD11" s="10"/>
      <c r="AE11" s="10"/>
      <c r="AF11" s="10"/>
      <c r="AG11" s="7"/>
      <c r="AH11" s="10"/>
    </row>
    <row r="12">
      <c r="A12" s="23" t="s">
        <v>9</v>
      </c>
      <c r="B12" s="24">
        <f t="shared" ref="B12:B32" si="4">AH12/$AH$10</f>
        <v>0.2993746963</v>
      </c>
      <c r="C12" s="25">
        <f t="shared" ref="C12:AH12" si="3">sum(C13:C32)</f>
        <v>23205</v>
      </c>
      <c r="D12" s="25">
        <f t="shared" si="3"/>
        <v>50000</v>
      </c>
      <c r="E12" s="25">
        <f t="shared" si="3"/>
        <v>100000</v>
      </c>
      <c r="F12" s="25">
        <f t="shared" si="3"/>
        <v>1307888</v>
      </c>
      <c r="G12" s="25">
        <f t="shared" si="3"/>
        <v>347430</v>
      </c>
      <c r="H12" s="25">
        <f t="shared" si="3"/>
        <v>767119</v>
      </c>
      <c r="I12" s="25">
        <f t="shared" si="3"/>
        <v>874000</v>
      </c>
      <c r="J12" s="25">
        <f t="shared" si="3"/>
        <v>141805</v>
      </c>
      <c r="K12" s="25">
        <f t="shared" si="3"/>
        <v>201594</v>
      </c>
      <c r="L12" s="25">
        <f t="shared" si="3"/>
        <v>230880</v>
      </c>
      <c r="M12" s="25">
        <f t="shared" si="3"/>
        <v>151200</v>
      </c>
      <c r="N12" s="25">
        <f t="shared" si="3"/>
        <v>860609</v>
      </c>
      <c r="O12" s="25">
        <f t="shared" si="3"/>
        <v>0</v>
      </c>
      <c r="P12" s="25">
        <f t="shared" si="3"/>
        <v>0</v>
      </c>
      <c r="Q12" s="25">
        <f t="shared" si="3"/>
        <v>0</v>
      </c>
      <c r="R12" s="25">
        <f t="shared" si="3"/>
        <v>0</v>
      </c>
      <c r="S12" s="25">
        <f t="shared" si="3"/>
        <v>0</v>
      </c>
      <c r="T12" s="25">
        <f t="shared" si="3"/>
        <v>0</v>
      </c>
      <c r="U12" s="25">
        <f t="shared" si="3"/>
        <v>0</v>
      </c>
      <c r="V12" s="25">
        <f t="shared" si="3"/>
        <v>0</v>
      </c>
      <c r="W12" s="25">
        <f t="shared" si="3"/>
        <v>0</v>
      </c>
      <c r="X12" s="25">
        <f t="shared" si="3"/>
        <v>0</v>
      </c>
      <c r="Y12" s="25">
        <f t="shared" si="3"/>
        <v>0</v>
      </c>
      <c r="Z12" s="25">
        <f t="shared" si="3"/>
        <v>0</v>
      </c>
      <c r="AA12" s="25">
        <f t="shared" si="3"/>
        <v>0</v>
      </c>
      <c r="AB12" s="25">
        <f t="shared" si="3"/>
        <v>0</v>
      </c>
      <c r="AC12" s="25">
        <f t="shared" si="3"/>
        <v>0</v>
      </c>
      <c r="AD12" s="25">
        <f t="shared" si="3"/>
        <v>0</v>
      </c>
      <c r="AE12" s="25">
        <f t="shared" si="3"/>
        <v>0</v>
      </c>
      <c r="AF12" s="25">
        <f t="shared" si="3"/>
        <v>0</v>
      </c>
      <c r="AG12" s="25">
        <f t="shared" si="3"/>
        <v>0</v>
      </c>
      <c r="AH12" s="26">
        <f t="shared" si="3"/>
        <v>5055730</v>
      </c>
    </row>
    <row r="13">
      <c r="A13" s="16" t="s">
        <v>10</v>
      </c>
      <c r="B13" s="27">
        <f t="shared" si="4"/>
        <v>0.1048140376</v>
      </c>
      <c r="C13" s="17">
        <v>0.0</v>
      </c>
      <c r="D13" s="17">
        <v>50000.0</v>
      </c>
      <c r="E13" s="17">
        <v>100000.0</v>
      </c>
      <c r="F13" s="17">
        <v>244489.0</v>
      </c>
      <c r="G13" s="17">
        <f>94000+100000</f>
        <v>194000</v>
      </c>
      <c r="H13" s="17">
        <f>129900+81872</f>
        <v>211772</v>
      </c>
      <c r="I13" s="17">
        <f>240000+50000</f>
        <v>290000</v>
      </c>
      <c r="J13" s="17">
        <f>50000+68600</f>
        <v>118600</v>
      </c>
      <c r="K13" s="17">
        <v>20000.0</v>
      </c>
      <c r="L13" s="17">
        <v>50000.0</v>
      </c>
      <c r="M13" s="17">
        <f>11200+40000+100000</f>
        <v>151200</v>
      </c>
      <c r="N13" s="17">
        <f>250000+60000+30000</f>
        <v>340000</v>
      </c>
      <c r="O13" s="17">
        <v>0.0</v>
      </c>
      <c r="P13" s="17">
        <v>0.0</v>
      </c>
      <c r="Q13" s="17">
        <v>0.0</v>
      </c>
      <c r="R13" s="17">
        <v>0.0</v>
      </c>
      <c r="S13" s="17">
        <v>0.0</v>
      </c>
      <c r="T13" s="17">
        <v>0.0</v>
      </c>
      <c r="U13" s="17">
        <v>0.0</v>
      </c>
      <c r="V13" s="17">
        <v>0.0</v>
      </c>
      <c r="W13" s="17">
        <v>0.0</v>
      </c>
      <c r="X13" s="17">
        <v>0.0</v>
      </c>
      <c r="Y13" s="17">
        <v>0.0</v>
      </c>
      <c r="Z13" s="17">
        <v>0.0</v>
      </c>
      <c r="AA13" s="17">
        <v>0.0</v>
      </c>
      <c r="AB13" s="17">
        <v>0.0</v>
      </c>
      <c r="AC13" s="17">
        <v>0.0</v>
      </c>
      <c r="AD13" s="17">
        <v>0.0</v>
      </c>
      <c r="AE13" s="17">
        <v>0.0</v>
      </c>
      <c r="AF13" s="17">
        <v>0.0</v>
      </c>
      <c r="AG13" s="17">
        <v>0.0</v>
      </c>
      <c r="AH13" s="19">
        <f t="shared" ref="AH13:AH32" si="5">SUM(C13:AG13)</f>
        <v>1770061</v>
      </c>
    </row>
    <row r="14">
      <c r="A14" s="28" t="s">
        <v>12</v>
      </c>
      <c r="B14" s="27">
        <f t="shared" si="4"/>
        <v>0.007058419614</v>
      </c>
      <c r="C14" s="17">
        <v>0.0</v>
      </c>
      <c r="D14" s="17">
        <v>0.0</v>
      </c>
      <c r="E14" s="17">
        <v>0.0</v>
      </c>
      <c r="F14" s="17">
        <v>0.0</v>
      </c>
      <c r="G14" s="17">
        <v>0.0</v>
      </c>
      <c r="H14" s="17">
        <v>0.0</v>
      </c>
      <c r="I14" s="17">
        <v>0.0</v>
      </c>
      <c r="J14" s="17">
        <v>0.0</v>
      </c>
      <c r="K14" s="17">
        <v>119200.0</v>
      </c>
      <c r="L14" s="17">
        <v>0.0</v>
      </c>
      <c r="M14" s="17">
        <v>0.0</v>
      </c>
      <c r="N14" s="17">
        <v>0.0</v>
      </c>
      <c r="O14" s="17">
        <v>0.0</v>
      </c>
      <c r="P14" s="17">
        <v>0.0</v>
      </c>
      <c r="Q14" s="17">
        <v>0.0</v>
      </c>
      <c r="R14" s="17">
        <v>0.0</v>
      </c>
      <c r="S14" s="17">
        <v>0.0</v>
      </c>
      <c r="T14" s="17">
        <v>0.0</v>
      </c>
      <c r="U14" s="17">
        <v>0.0</v>
      </c>
      <c r="V14" s="17">
        <v>0.0</v>
      </c>
      <c r="W14" s="17">
        <v>0.0</v>
      </c>
      <c r="X14" s="17">
        <v>0.0</v>
      </c>
      <c r="Y14" s="17">
        <v>0.0</v>
      </c>
      <c r="Z14" s="17">
        <v>0.0</v>
      </c>
      <c r="AA14" s="17">
        <v>0.0</v>
      </c>
      <c r="AB14" s="17">
        <v>0.0</v>
      </c>
      <c r="AC14" s="17">
        <v>0.0</v>
      </c>
      <c r="AD14" s="17">
        <v>0.0</v>
      </c>
      <c r="AE14" s="17">
        <v>0.0</v>
      </c>
      <c r="AF14" s="17">
        <v>0.0</v>
      </c>
      <c r="AG14" s="17">
        <v>0.0</v>
      </c>
      <c r="AH14" s="19">
        <f t="shared" si="5"/>
        <v>119200</v>
      </c>
    </row>
    <row r="15">
      <c r="A15" s="16" t="s">
        <v>13</v>
      </c>
      <c r="B15" s="27">
        <f t="shared" si="4"/>
        <v>0.06148866452</v>
      </c>
      <c r="C15" s="17">
        <v>0.0</v>
      </c>
      <c r="D15" s="17">
        <v>0.0</v>
      </c>
      <c r="E15" s="17">
        <v>0.0</v>
      </c>
      <c r="F15" s="17">
        <v>713601.0</v>
      </c>
      <c r="G15" s="17">
        <v>0.0</v>
      </c>
      <c r="H15" s="17">
        <v>0.0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7">
        <v>324797.0</v>
      </c>
      <c r="O15" s="17">
        <v>0.0</v>
      </c>
      <c r="P15" s="17">
        <v>0.0</v>
      </c>
      <c r="Q15" s="17">
        <v>0.0</v>
      </c>
      <c r="R15" s="17">
        <v>0.0</v>
      </c>
      <c r="S15" s="17">
        <v>0.0</v>
      </c>
      <c r="T15" s="17">
        <v>0.0</v>
      </c>
      <c r="U15" s="17">
        <v>0.0</v>
      </c>
      <c r="V15" s="17">
        <v>0.0</v>
      </c>
      <c r="W15" s="17">
        <v>0.0</v>
      </c>
      <c r="X15" s="17">
        <v>0.0</v>
      </c>
      <c r="Y15" s="17">
        <v>0.0</v>
      </c>
      <c r="Z15" s="17">
        <v>0.0</v>
      </c>
      <c r="AA15" s="17">
        <v>0.0</v>
      </c>
      <c r="AB15" s="17">
        <v>0.0</v>
      </c>
      <c r="AC15" s="17">
        <v>0.0</v>
      </c>
      <c r="AD15" s="17">
        <v>0.0</v>
      </c>
      <c r="AE15" s="17">
        <v>0.0</v>
      </c>
      <c r="AF15" s="17">
        <v>0.0</v>
      </c>
      <c r="AG15" s="17">
        <v>0.0</v>
      </c>
      <c r="AH15" s="19">
        <f t="shared" si="5"/>
        <v>1038398</v>
      </c>
    </row>
    <row r="16">
      <c r="A16" s="28" t="s">
        <v>14</v>
      </c>
      <c r="B16" s="27">
        <f t="shared" si="4"/>
        <v>0.009118270157</v>
      </c>
      <c r="C16" s="17">
        <v>0.0</v>
      </c>
      <c r="D16" s="17">
        <v>0.0</v>
      </c>
      <c r="E16" s="17">
        <v>0.0</v>
      </c>
      <c r="F16" s="17">
        <v>153986.0</v>
      </c>
      <c r="G16" s="17">
        <v>0.0</v>
      </c>
      <c r="H16" s="17">
        <v>0.0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7">
        <v>0.0</v>
      </c>
      <c r="P16" s="17">
        <v>0.0</v>
      </c>
      <c r="Q16" s="17">
        <v>0.0</v>
      </c>
      <c r="R16" s="17">
        <v>0.0</v>
      </c>
      <c r="S16" s="17">
        <v>0.0</v>
      </c>
      <c r="T16" s="17">
        <v>0.0</v>
      </c>
      <c r="U16" s="17">
        <v>0.0</v>
      </c>
      <c r="V16" s="17">
        <v>0.0</v>
      </c>
      <c r="W16" s="17">
        <v>0.0</v>
      </c>
      <c r="X16" s="17">
        <v>0.0</v>
      </c>
      <c r="Y16" s="17">
        <v>0.0</v>
      </c>
      <c r="Z16" s="17">
        <v>0.0</v>
      </c>
      <c r="AA16" s="17">
        <v>0.0</v>
      </c>
      <c r="AB16" s="17">
        <v>0.0</v>
      </c>
      <c r="AC16" s="17">
        <v>0.0</v>
      </c>
      <c r="AD16" s="17">
        <v>0.0</v>
      </c>
      <c r="AE16" s="17">
        <v>0.0</v>
      </c>
      <c r="AF16" s="17">
        <v>0.0</v>
      </c>
      <c r="AG16" s="17">
        <v>0.0</v>
      </c>
      <c r="AH16" s="19">
        <f t="shared" si="5"/>
        <v>153986</v>
      </c>
    </row>
    <row r="17">
      <c r="A17" s="28" t="s">
        <v>15</v>
      </c>
      <c r="B17" s="27">
        <f t="shared" si="4"/>
        <v>0.02960746482</v>
      </c>
      <c r="C17" s="17">
        <v>0.0</v>
      </c>
      <c r="D17" s="17">
        <v>0.0</v>
      </c>
      <c r="E17" s="17">
        <v>0.0</v>
      </c>
      <c r="F17" s="17">
        <v>0.0</v>
      </c>
      <c r="G17" s="17">
        <v>0.0</v>
      </c>
      <c r="H17" s="17">
        <v>0.0</v>
      </c>
      <c r="I17" s="17">
        <v>500000.0</v>
      </c>
      <c r="J17" s="17">
        <v>0.0</v>
      </c>
      <c r="K17" s="17">
        <v>0.0</v>
      </c>
      <c r="L17" s="17">
        <v>0.0</v>
      </c>
      <c r="M17" s="17">
        <v>0.0</v>
      </c>
      <c r="N17" s="17">
        <v>0.0</v>
      </c>
      <c r="O17" s="17">
        <v>0.0</v>
      </c>
      <c r="P17" s="17">
        <v>0.0</v>
      </c>
      <c r="Q17" s="17">
        <v>0.0</v>
      </c>
      <c r="R17" s="17">
        <v>0.0</v>
      </c>
      <c r="S17" s="17">
        <v>0.0</v>
      </c>
      <c r="T17" s="17">
        <v>0.0</v>
      </c>
      <c r="U17" s="17">
        <v>0.0</v>
      </c>
      <c r="V17" s="17">
        <v>0.0</v>
      </c>
      <c r="W17" s="17">
        <v>0.0</v>
      </c>
      <c r="X17" s="17">
        <v>0.0</v>
      </c>
      <c r="Y17" s="17">
        <v>0.0</v>
      </c>
      <c r="Z17" s="17">
        <v>0.0</v>
      </c>
      <c r="AA17" s="17">
        <v>0.0</v>
      </c>
      <c r="AB17" s="17">
        <v>0.0</v>
      </c>
      <c r="AC17" s="17">
        <v>0.0</v>
      </c>
      <c r="AD17" s="17">
        <v>0.0</v>
      </c>
      <c r="AE17" s="17">
        <v>0.0</v>
      </c>
      <c r="AF17" s="17">
        <v>0.0</v>
      </c>
      <c r="AG17" s="17">
        <v>0.0</v>
      </c>
      <c r="AH17" s="19">
        <f t="shared" si="5"/>
        <v>500000</v>
      </c>
    </row>
    <row r="18">
      <c r="A18" s="29" t="s">
        <v>16</v>
      </c>
      <c r="B18" s="27">
        <f t="shared" si="4"/>
        <v>0.01071079647</v>
      </c>
      <c r="C18" s="17">
        <v>0.0</v>
      </c>
      <c r="D18" s="17">
        <v>0.0</v>
      </c>
      <c r="E18" s="17">
        <v>0.0</v>
      </c>
      <c r="F18" s="17">
        <v>0.0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L18" s="17">
        <v>180880.0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17">
        <v>0.0</v>
      </c>
      <c r="T18" s="17">
        <v>0.0</v>
      </c>
      <c r="U18" s="17">
        <v>0.0</v>
      </c>
      <c r="V18" s="17">
        <v>0.0</v>
      </c>
      <c r="W18" s="17">
        <v>0.0</v>
      </c>
      <c r="X18" s="17">
        <v>0.0</v>
      </c>
      <c r="Y18" s="17">
        <v>0.0</v>
      </c>
      <c r="Z18" s="17">
        <v>0.0</v>
      </c>
      <c r="AA18" s="17">
        <v>0.0</v>
      </c>
      <c r="AB18" s="17">
        <v>0.0</v>
      </c>
      <c r="AC18" s="17">
        <v>0.0</v>
      </c>
      <c r="AD18" s="17">
        <v>0.0</v>
      </c>
      <c r="AE18" s="17">
        <v>0.0</v>
      </c>
      <c r="AF18" s="17">
        <v>0.0</v>
      </c>
      <c r="AG18" s="17">
        <v>0.0</v>
      </c>
      <c r="AH18" s="19">
        <f t="shared" si="5"/>
        <v>180880</v>
      </c>
    </row>
    <row r="19">
      <c r="A19" s="29" t="s">
        <v>17</v>
      </c>
      <c r="B19" s="27">
        <f t="shared" si="4"/>
        <v>0.02755566751</v>
      </c>
      <c r="C19" s="17">
        <v>0.0</v>
      </c>
      <c r="D19" s="17">
        <v>0.0</v>
      </c>
      <c r="E19" s="17">
        <v>0.0</v>
      </c>
      <c r="F19" s="17">
        <v>0.0</v>
      </c>
      <c r="G19" s="17">
        <v>0.0</v>
      </c>
      <c r="H19" s="17">
        <v>465350.0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17">
        <v>0.0</v>
      </c>
      <c r="T19" s="17">
        <v>0.0</v>
      </c>
      <c r="U19" s="17">
        <v>0.0</v>
      </c>
      <c r="V19" s="17">
        <v>0.0</v>
      </c>
      <c r="W19" s="17">
        <v>0.0</v>
      </c>
      <c r="X19" s="17">
        <v>0.0</v>
      </c>
      <c r="Y19" s="17">
        <v>0.0</v>
      </c>
      <c r="Z19" s="17">
        <v>0.0</v>
      </c>
      <c r="AA19" s="17">
        <v>0.0</v>
      </c>
      <c r="AB19" s="17">
        <v>0.0</v>
      </c>
      <c r="AC19" s="17">
        <v>0.0</v>
      </c>
      <c r="AD19" s="17">
        <v>0.0</v>
      </c>
      <c r="AE19" s="17">
        <v>0.0</v>
      </c>
      <c r="AF19" s="17">
        <v>0.0</v>
      </c>
      <c r="AG19" s="17">
        <v>0.0</v>
      </c>
      <c r="AH19" s="19">
        <f t="shared" si="5"/>
        <v>465350</v>
      </c>
    </row>
    <row r="20">
      <c r="A20" s="28" t="s">
        <v>102</v>
      </c>
      <c r="B20" s="27">
        <f t="shared" si="4"/>
        <v>0.01492216227</v>
      </c>
      <c r="C20" s="17">
        <v>0.0</v>
      </c>
      <c r="D20" s="17">
        <v>0.0</v>
      </c>
      <c r="E20" s="17">
        <v>0.0</v>
      </c>
      <c r="F20" s="17">
        <v>84000.0</v>
      </c>
      <c r="G20" s="17">
        <v>0.0</v>
      </c>
      <c r="H20" s="17">
        <v>0.0</v>
      </c>
      <c r="I20" s="17">
        <v>84000.0</v>
      </c>
      <c r="J20" s="17">
        <v>0.0</v>
      </c>
      <c r="K20" s="17">
        <v>0.0</v>
      </c>
      <c r="L20" s="17">
        <v>0.0</v>
      </c>
      <c r="M20" s="17">
        <v>0.0</v>
      </c>
      <c r="N20" s="17">
        <v>84000.0</v>
      </c>
      <c r="O20" s="17">
        <v>0.0</v>
      </c>
      <c r="P20" s="17">
        <v>0.0</v>
      </c>
      <c r="Q20" s="17">
        <v>0.0</v>
      </c>
      <c r="R20" s="17">
        <v>0.0</v>
      </c>
      <c r="S20" s="17">
        <v>0.0</v>
      </c>
      <c r="T20" s="17">
        <v>0.0</v>
      </c>
      <c r="U20" s="17">
        <v>0.0</v>
      </c>
      <c r="V20" s="17">
        <v>0.0</v>
      </c>
      <c r="W20" s="17">
        <v>0.0</v>
      </c>
      <c r="X20" s="17">
        <v>0.0</v>
      </c>
      <c r="Y20" s="17">
        <v>0.0</v>
      </c>
      <c r="Z20" s="17">
        <v>0.0</v>
      </c>
      <c r="AA20" s="17">
        <v>0.0</v>
      </c>
      <c r="AB20" s="17">
        <v>0.0</v>
      </c>
      <c r="AC20" s="17">
        <v>0.0</v>
      </c>
      <c r="AD20" s="17">
        <v>0.0</v>
      </c>
      <c r="AE20" s="17">
        <v>0.0</v>
      </c>
      <c r="AF20" s="17">
        <v>0.0</v>
      </c>
      <c r="AG20" s="17">
        <v>0.0</v>
      </c>
      <c r="AH20" s="19">
        <f t="shared" si="5"/>
        <v>252000</v>
      </c>
    </row>
    <row r="21">
      <c r="A21" s="28" t="s">
        <v>18</v>
      </c>
      <c r="B21" s="27">
        <f t="shared" si="4"/>
        <v>0</v>
      </c>
      <c r="C21" s="17">
        <v>0.0</v>
      </c>
      <c r="D21" s="17">
        <v>0.0</v>
      </c>
      <c r="E21" s="17">
        <v>0.0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7">
        <v>0.0</v>
      </c>
      <c r="R21" s="17">
        <v>0.0</v>
      </c>
      <c r="S21" s="17">
        <v>0.0</v>
      </c>
      <c r="T21" s="17">
        <v>0.0</v>
      </c>
      <c r="U21" s="17">
        <v>0.0</v>
      </c>
      <c r="V21" s="17">
        <v>0.0</v>
      </c>
      <c r="W21" s="17">
        <v>0.0</v>
      </c>
      <c r="X21" s="17">
        <v>0.0</v>
      </c>
      <c r="Y21" s="17">
        <v>0.0</v>
      </c>
      <c r="Z21" s="17">
        <v>0.0</v>
      </c>
      <c r="AA21" s="17">
        <v>0.0</v>
      </c>
      <c r="AB21" s="17">
        <v>0.0</v>
      </c>
      <c r="AC21" s="17">
        <v>0.0</v>
      </c>
      <c r="AD21" s="17">
        <v>0.0</v>
      </c>
      <c r="AE21" s="17">
        <v>0.0</v>
      </c>
      <c r="AF21" s="17">
        <v>0.0</v>
      </c>
      <c r="AG21" s="17">
        <v>0.0</v>
      </c>
      <c r="AH21" s="19">
        <f t="shared" si="5"/>
        <v>0</v>
      </c>
    </row>
    <row r="22">
      <c r="A22" s="16" t="s">
        <v>20</v>
      </c>
      <c r="B22" s="27">
        <f t="shared" si="4"/>
        <v>0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U22" s="17">
        <v>0.0</v>
      </c>
      <c r="V22" s="17">
        <v>0.0</v>
      </c>
      <c r="W22" s="17">
        <v>0.0</v>
      </c>
      <c r="X22" s="17">
        <v>0.0</v>
      </c>
      <c r="Y22" s="17">
        <v>0.0</v>
      </c>
      <c r="Z22" s="17">
        <v>0.0</v>
      </c>
      <c r="AA22" s="17">
        <v>0.0</v>
      </c>
      <c r="AB22" s="17">
        <v>0.0</v>
      </c>
      <c r="AC22" s="17">
        <v>0.0</v>
      </c>
      <c r="AD22" s="17">
        <v>0.0</v>
      </c>
      <c r="AE22" s="17">
        <v>0.0</v>
      </c>
      <c r="AF22" s="17">
        <v>0.0</v>
      </c>
      <c r="AG22" s="17">
        <v>0.0</v>
      </c>
      <c r="AH22" s="19">
        <f t="shared" si="5"/>
        <v>0</v>
      </c>
    </row>
    <row r="23">
      <c r="A23" s="16" t="s">
        <v>22</v>
      </c>
      <c r="B23" s="27">
        <f t="shared" si="4"/>
        <v>0</v>
      </c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7">
        <v>0.0</v>
      </c>
      <c r="O23" s="17">
        <v>0.0</v>
      </c>
      <c r="P23" s="17">
        <v>0.0</v>
      </c>
      <c r="Q23" s="17">
        <v>0.0</v>
      </c>
      <c r="R23" s="17">
        <v>0.0</v>
      </c>
      <c r="S23" s="17">
        <v>0.0</v>
      </c>
      <c r="T23" s="17">
        <v>0.0</v>
      </c>
      <c r="U23" s="17">
        <v>0.0</v>
      </c>
      <c r="V23" s="17">
        <v>0.0</v>
      </c>
      <c r="W23" s="17">
        <v>0.0</v>
      </c>
      <c r="X23" s="17">
        <v>0.0</v>
      </c>
      <c r="Y23" s="17">
        <v>0.0</v>
      </c>
      <c r="Z23" s="17">
        <v>0.0</v>
      </c>
      <c r="AA23" s="17">
        <v>0.0</v>
      </c>
      <c r="AB23" s="17">
        <v>0.0</v>
      </c>
      <c r="AC23" s="17">
        <v>0.0</v>
      </c>
      <c r="AD23" s="17">
        <v>0.0</v>
      </c>
      <c r="AE23" s="17">
        <v>0.0</v>
      </c>
      <c r="AF23" s="17">
        <v>0.0</v>
      </c>
      <c r="AG23" s="17">
        <v>0.0</v>
      </c>
      <c r="AH23" s="19">
        <f t="shared" si="5"/>
        <v>0</v>
      </c>
    </row>
    <row r="24">
      <c r="A24" s="16" t="s">
        <v>23</v>
      </c>
      <c r="B24" s="27">
        <f t="shared" si="4"/>
        <v>0</v>
      </c>
      <c r="C24" s="17">
        <v>0.0</v>
      </c>
      <c r="D24" s="17">
        <v>0.0</v>
      </c>
      <c r="E24" s="17">
        <v>0.0</v>
      </c>
      <c r="F24" s="17">
        <v>0.0</v>
      </c>
      <c r="G24" s="17">
        <v>0.0</v>
      </c>
      <c r="H24" s="17">
        <v>0.0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  <c r="R24" s="17">
        <v>0.0</v>
      </c>
      <c r="S24" s="17">
        <v>0.0</v>
      </c>
      <c r="T24" s="17">
        <v>0.0</v>
      </c>
      <c r="U24" s="17">
        <v>0.0</v>
      </c>
      <c r="V24" s="17">
        <v>0.0</v>
      </c>
      <c r="W24" s="17">
        <v>0.0</v>
      </c>
      <c r="X24" s="17">
        <v>0.0</v>
      </c>
      <c r="Y24" s="17">
        <v>0.0</v>
      </c>
      <c r="Z24" s="17">
        <v>0.0</v>
      </c>
      <c r="AA24" s="17">
        <v>0.0</v>
      </c>
      <c r="AB24" s="17">
        <v>0.0</v>
      </c>
      <c r="AC24" s="17">
        <v>0.0</v>
      </c>
      <c r="AD24" s="17">
        <v>0.0</v>
      </c>
      <c r="AE24" s="17">
        <v>0.0</v>
      </c>
      <c r="AF24" s="17">
        <v>0.0</v>
      </c>
      <c r="AG24" s="17">
        <v>0.0</v>
      </c>
      <c r="AH24" s="19">
        <f t="shared" si="5"/>
        <v>0</v>
      </c>
    </row>
    <row r="25">
      <c r="A25" s="16" t="s">
        <v>24</v>
      </c>
      <c r="B25" s="27">
        <f t="shared" si="4"/>
        <v>0.002748164885</v>
      </c>
      <c r="C25" s="17">
        <v>23205.0</v>
      </c>
      <c r="D25" s="17">
        <v>0.0</v>
      </c>
      <c r="E25" s="17">
        <v>0.0</v>
      </c>
      <c r="F25" s="17">
        <v>0.0</v>
      </c>
      <c r="G25" s="17">
        <v>0.0</v>
      </c>
      <c r="H25" s="17">
        <v>0.0</v>
      </c>
      <c r="I25" s="17">
        <v>0.0</v>
      </c>
      <c r="J25" s="17">
        <v>23205.0</v>
      </c>
      <c r="K25" s="17">
        <v>0.0</v>
      </c>
      <c r="L25" s="17">
        <v>0.0</v>
      </c>
      <c r="M25" s="17">
        <v>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  <c r="S25" s="17">
        <v>0.0</v>
      </c>
      <c r="T25" s="17">
        <v>0.0</v>
      </c>
      <c r="U25" s="17">
        <v>0.0</v>
      </c>
      <c r="V25" s="17">
        <v>0.0</v>
      </c>
      <c r="W25" s="17">
        <v>0.0</v>
      </c>
      <c r="X25" s="17">
        <v>0.0</v>
      </c>
      <c r="Y25" s="17">
        <v>0.0</v>
      </c>
      <c r="Z25" s="17">
        <v>0.0</v>
      </c>
      <c r="AA25" s="17">
        <v>0.0</v>
      </c>
      <c r="AB25" s="17">
        <v>0.0</v>
      </c>
      <c r="AC25" s="17">
        <v>0.0</v>
      </c>
      <c r="AD25" s="17">
        <v>0.0</v>
      </c>
      <c r="AE25" s="17">
        <v>0.0</v>
      </c>
      <c r="AF25" s="17">
        <v>0.0</v>
      </c>
      <c r="AG25" s="17">
        <v>0.0</v>
      </c>
      <c r="AH25" s="19">
        <f t="shared" si="5"/>
        <v>46410</v>
      </c>
    </row>
    <row r="26">
      <c r="A26" s="16" t="s">
        <v>25</v>
      </c>
      <c r="B26" s="27">
        <f t="shared" si="4"/>
        <v>0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7">
        <v>0.0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7">
        <v>0.0</v>
      </c>
      <c r="O26" s="17">
        <v>0.0</v>
      </c>
      <c r="P26" s="17">
        <v>0.0</v>
      </c>
      <c r="Q26" s="17">
        <v>0.0</v>
      </c>
      <c r="R26" s="17">
        <v>0.0</v>
      </c>
      <c r="S26" s="17">
        <v>0.0</v>
      </c>
      <c r="T26" s="17">
        <v>0.0</v>
      </c>
      <c r="U26" s="17">
        <v>0.0</v>
      </c>
      <c r="V26" s="17">
        <v>0.0</v>
      </c>
      <c r="W26" s="17">
        <v>0.0</v>
      </c>
      <c r="X26" s="17">
        <v>0.0</v>
      </c>
      <c r="Y26" s="17">
        <v>0.0</v>
      </c>
      <c r="Z26" s="17">
        <v>0.0</v>
      </c>
      <c r="AA26" s="17">
        <v>0.0</v>
      </c>
      <c r="AB26" s="17">
        <v>0.0</v>
      </c>
      <c r="AC26" s="17">
        <v>0.0</v>
      </c>
      <c r="AD26" s="17">
        <v>0.0</v>
      </c>
      <c r="AE26" s="17">
        <v>0.0</v>
      </c>
      <c r="AF26" s="17">
        <v>0.0</v>
      </c>
      <c r="AG26" s="17">
        <v>0.0</v>
      </c>
      <c r="AH26" s="19">
        <f t="shared" si="5"/>
        <v>0</v>
      </c>
    </row>
    <row r="27">
      <c r="A27" s="16" t="s">
        <v>26</v>
      </c>
      <c r="B27" s="27">
        <f t="shared" si="4"/>
        <v>0</v>
      </c>
      <c r="C27" s="17">
        <v>0.0</v>
      </c>
      <c r="D27" s="17">
        <v>0.0</v>
      </c>
      <c r="E27" s="17">
        <v>0.0</v>
      </c>
      <c r="F27" s="17">
        <v>0.0</v>
      </c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17">
        <v>0.0</v>
      </c>
      <c r="S27" s="17">
        <v>0.0</v>
      </c>
      <c r="T27" s="17">
        <v>0.0</v>
      </c>
      <c r="U27" s="17">
        <v>0.0</v>
      </c>
      <c r="V27" s="17">
        <v>0.0</v>
      </c>
      <c r="W27" s="17">
        <v>0.0</v>
      </c>
      <c r="X27" s="17">
        <v>0.0</v>
      </c>
      <c r="Y27" s="17">
        <v>0.0</v>
      </c>
      <c r="Z27" s="17">
        <v>0.0</v>
      </c>
      <c r="AA27" s="17">
        <v>0.0</v>
      </c>
      <c r="AB27" s="17">
        <v>0.0</v>
      </c>
      <c r="AC27" s="17">
        <v>0.0</v>
      </c>
      <c r="AD27" s="17">
        <v>0.0</v>
      </c>
      <c r="AE27" s="17">
        <v>0.0</v>
      </c>
      <c r="AF27" s="17">
        <v>0.0</v>
      </c>
      <c r="AG27" s="17">
        <v>0.0</v>
      </c>
      <c r="AH27" s="19">
        <f t="shared" si="5"/>
        <v>0</v>
      </c>
    </row>
    <row r="28">
      <c r="A28" s="16" t="s">
        <v>27</v>
      </c>
      <c r="B28" s="27">
        <f t="shared" si="4"/>
        <v>0.01770846157</v>
      </c>
      <c r="C28" s="17">
        <v>0.0</v>
      </c>
      <c r="D28" s="17">
        <v>0.0</v>
      </c>
      <c r="E28" s="17">
        <v>0.0</v>
      </c>
      <c r="F28" s="17">
        <v>111812.0</v>
      </c>
      <c r="G28" s="17">
        <v>75430.0</v>
      </c>
      <c r="H28" s="17">
        <v>0.0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7">
        <v>111812.0</v>
      </c>
      <c r="O28" s="17">
        <v>0.0</v>
      </c>
      <c r="P28" s="17">
        <v>0.0</v>
      </c>
      <c r="Q28" s="17">
        <v>0.0</v>
      </c>
      <c r="R28" s="17">
        <v>0.0</v>
      </c>
      <c r="S28" s="17">
        <v>0.0</v>
      </c>
      <c r="T28" s="17">
        <v>0.0</v>
      </c>
      <c r="U28" s="17">
        <v>0.0</v>
      </c>
      <c r="V28" s="17">
        <v>0.0</v>
      </c>
      <c r="W28" s="17">
        <v>0.0</v>
      </c>
      <c r="X28" s="17">
        <v>0.0</v>
      </c>
      <c r="Y28" s="17">
        <v>0.0</v>
      </c>
      <c r="Z28" s="17">
        <v>0.0</v>
      </c>
      <c r="AA28" s="17">
        <v>0.0</v>
      </c>
      <c r="AB28" s="17">
        <v>0.0</v>
      </c>
      <c r="AC28" s="17">
        <v>0.0</v>
      </c>
      <c r="AD28" s="17">
        <v>0.0</v>
      </c>
      <c r="AE28" s="17">
        <v>0.0</v>
      </c>
      <c r="AF28" s="17">
        <v>0.0</v>
      </c>
      <c r="AG28" s="17">
        <v>0.0</v>
      </c>
      <c r="AH28" s="19">
        <f t="shared" si="5"/>
        <v>299054</v>
      </c>
    </row>
    <row r="29">
      <c r="A29" s="16" t="s">
        <v>28</v>
      </c>
      <c r="B29" s="27">
        <f t="shared" si="4"/>
        <v>0.005329166023</v>
      </c>
      <c r="C29" s="17">
        <v>0.0</v>
      </c>
      <c r="D29" s="17">
        <v>0.0</v>
      </c>
      <c r="E29" s="17">
        <v>0.0</v>
      </c>
      <c r="F29" s="17">
        <v>0.0</v>
      </c>
      <c r="G29" s="17">
        <v>0.0</v>
      </c>
      <c r="H29" s="17">
        <v>89997.0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17">
        <v>0.0</v>
      </c>
      <c r="T29" s="17">
        <v>0.0</v>
      </c>
      <c r="U29" s="17">
        <v>0.0</v>
      </c>
      <c r="V29" s="17">
        <v>0.0</v>
      </c>
      <c r="W29" s="17">
        <v>0.0</v>
      </c>
      <c r="X29" s="17">
        <v>0.0</v>
      </c>
      <c r="Y29" s="17">
        <v>0.0</v>
      </c>
      <c r="Z29" s="17">
        <v>0.0</v>
      </c>
      <c r="AA29" s="17">
        <v>0.0</v>
      </c>
      <c r="AB29" s="17">
        <v>0.0</v>
      </c>
      <c r="AC29" s="17">
        <v>0.0</v>
      </c>
      <c r="AD29" s="17">
        <v>0.0</v>
      </c>
      <c r="AE29" s="17">
        <v>0.0</v>
      </c>
      <c r="AF29" s="17">
        <v>0.0</v>
      </c>
      <c r="AG29" s="17">
        <v>0.0</v>
      </c>
      <c r="AH29" s="19">
        <f t="shared" si="5"/>
        <v>89997</v>
      </c>
    </row>
    <row r="30">
      <c r="A30" s="16" t="s">
        <v>29</v>
      </c>
      <c r="B30" s="27">
        <f t="shared" si="4"/>
        <v>0</v>
      </c>
      <c r="C30" s="17">
        <v>0.0</v>
      </c>
      <c r="D30" s="17">
        <v>0.0</v>
      </c>
      <c r="E30" s="17">
        <v>0.0</v>
      </c>
      <c r="F30" s="17">
        <v>0.0</v>
      </c>
      <c r="G30" s="17">
        <v>0.0</v>
      </c>
      <c r="H30" s="17">
        <v>0.0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7">
        <v>0.0</v>
      </c>
      <c r="O30" s="17">
        <v>0.0</v>
      </c>
      <c r="P30" s="17">
        <v>0.0</v>
      </c>
      <c r="Q30" s="17">
        <v>0.0</v>
      </c>
      <c r="R30" s="17">
        <v>0.0</v>
      </c>
      <c r="S30" s="17">
        <v>0.0</v>
      </c>
      <c r="T30" s="17">
        <v>0.0</v>
      </c>
      <c r="U30" s="17">
        <v>0.0</v>
      </c>
      <c r="V30" s="17">
        <v>0.0</v>
      </c>
      <c r="W30" s="17">
        <v>0.0</v>
      </c>
      <c r="X30" s="17">
        <v>0.0</v>
      </c>
      <c r="Y30" s="17">
        <v>0.0</v>
      </c>
      <c r="Z30" s="17">
        <v>0.0</v>
      </c>
      <c r="AA30" s="17">
        <v>0.0</v>
      </c>
      <c r="AB30" s="17">
        <v>0.0</v>
      </c>
      <c r="AC30" s="17">
        <v>0.0</v>
      </c>
      <c r="AD30" s="17">
        <v>0.0</v>
      </c>
      <c r="AE30" s="17">
        <v>0.0</v>
      </c>
      <c r="AF30" s="17">
        <v>0.0</v>
      </c>
      <c r="AG30" s="17">
        <v>0.0</v>
      </c>
      <c r="AH30" s="19">
        <f t="shared" si="5"/>
        <v>0</v>
      </c>
    </row>
    <row r="31">
      <c r="A31" s="16" t="s">
        <v>30</v>
      </c>
      <c r="B31" s="27">
        <f t="shared" si="4"/>
        <v>0</v>
      </c>
      <c r="C31" s="17">
        <v>0.0</v>
      </c>
      <c r="D31" s="17">
        <v>0.0</v>
      </c>
      <c r="E31" s="17">
        <v>0.0</v>
      </c>
      <c r="F31" s="17">
        <v>0.0</v>
      </c>
      <c r="G31" s="17">
        <v>0.0</v>
      </c>
      <c r="H31" s="17">
        <v>0.0</v>
      </c>
      <c r="I31" s="17">
        <v>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7">
        <v>0.0</v>
      </c>
      <c r="S31" s="17">
        <v>0.0</v>
      </c>
      <c r="T31" s="17">
        <v>0.0</v>
      </c>
      <c r="U31" s="17">
        <v>0.0</v>
      </c>
      <c r="V31" s="17">
        <v>0.0</v>
      </c>
      <c r="W31" s="17">
        <v>0.0</v>
      </c>
      <c r="X31" s="17">
        <v>0.0</v>
      </c>
      <c r="Y31" s="17">
        <v>0.0</v>
      </c>
      <c r="Z31" s="17">
        <v>0.0</v>
      </c>
      <c r="AA31" s="17">
        <v>0.0</v>
      </c>
      <c r="AB31" s="17">
        <v>0.0</v>
      </c>
      <c r="AC31" s="17">
        <v>0.0</v>
      </c>
      <c r="AD31" s="17">
        <v>0.0</v>
      </c>
      <c r="AE31" s="17">
        <v>0.0</v>
      </c>
      <c r="AF31" s="17">
        <v>0.0</v>
      </c>
      <c r="AG31" s="17">
        <v>0.0</v>
      </c>
      <c r="AH31" s="19">
        <f t="shared" si="5"/>
        <v>0</v>
      </c>
    </row>
    <row r="32">
      <c r="A32" s="16" t="s">
        <v>31</v>
      </c>
      <c r="B32" s="27">
        <f t="shared" si="4"/>
        <v>0.008313420833</v>
      </c>
      <c r="C32" s="17">
        <v>0.0</v>
      </c>
      <c r="D32" s="17">
        <v>0.0</v>
      </c>
      <c r="E32" s="17">
        <v>0.0</v>
      </c>
      <c r="F32" s="17">
        <v>0.0</v>
      </c>
      <c r="G32" s="17">
        <v>78000.0</v>
      </c>
      <c r="H32" s="17">
        <v>0.0</v>
      </c>
      <c r="I32" s="17">
        <v>0.0</v>
      </c>
      <c r="J32" s="17">
        <v>0.0</v>
      </c>
      <c r="K32" s="17">
        <v>62394.0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  <c r="S32" s="17">
        <v>0.0</v>
      </c>
      <c r="T32" s="17">
        <v>0.0</v>
      </c>
      <c r="U32" s="17">
        <v>0.0</v>
      </c>
      <c r="V32" s="17">
        <v>0.0</v>
      </c>
      <c r="W32" s="17">
        <v>0.0</v>
      </c>
      <c r="X32" s="17">
        <v>0.0</v>
      </c>
      <c r="Y32" s="17">
        <v>0.0</v>
      </c>
      <c r="Z32" s="17">
        <v>0.0</v>
      </c>
      <c r="AA32" s="17">
        <v>0.0</v>
      </c>
      <c r="AB32" s="17">
        <v>0.0</v>
      </c>
      <c r="AC32" s="17">
        <v>0.0</v>
      </c>
      <c r="AD32" s="17">
        <v>0.0</v>
      </c>
      <c r="AE32" s="17">
        <v>0.0</v>
      </c>
      <c r="AF32" s="17">
        <v>0.0</v>
      </c>
      <c r="AG32" s="17">
        <v>0.0</v>
      </c>
      <c r="AH32" s="19">
        <f t="shared" si="5"/>
        <v>140394</v>
      </c>
    </row>
    <row r="33">
      <c r="A33" s="7"/>
      <c r="B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7"/>
      <c r="AH33" s="7"/>
    </row>
    <row r="34">
      <c r="A34" s="31" t="s">
        <v>32</v>
      </c>
      <c r="B34" s="32">
        <f t="shared" ref="B34:B63" si="7">AH34/$AH$10</f>
        <v>0.1630178131</v>
      </c>
      <c r="C34" s="33">
        <f t="shared" ref="C34:AH34" si="6">sum(C35+C55+C65)</f>
        <v>500000</v>
      </c>
      <c r="D34" s="33">
        <f t="shared" si="6"/>
        <v>0</v>
      </c>
      <c r="E34" s="33">
        <f t="shared" si="6"/>
        <v>58245</v>
      </c>
      <c r="F34" s="33">
        <f t="shared" si="6"/>
        <v>101904</v>
      </c>
      <c r="G34" s="33">
        <f t="shared" si="6"/>
        <v>209925</v>
      </c>
      <c r="H34" s="33">
        <f t="shared" si="6"/>
        <v>4051</v>
      </c>
      <c r="I34" s="33">
        <f t="shared" si="6"/>
        <v>0</v>
      </c>
      <c r="J34" s="33">
        <f t="shared" si="6"/>
        <v>0</v>
      </c>
      <c r="K34" s="33">
        <f t="shared" si="6"/>
        <v>0</v>
      </c>
      <c r="L34" s="33">
        <f t="shared" si="6"/>
        <v>1878860</v>
      </c>
      <c r="M34" s="33">
        <f t="shared" si="6"/>
        <v>0</v>
      </c>
      <c r="N34" s="33">
        <f t="shared" si="6"/>
        <v>0</v>
      </c>
      <c r="O34" s="33">
        <f t="shared" si="6"/>
        <v>0</v>
      </c>
      <c r="P34" s="33">
        <f t="shared" si="6"/>
        <v>0</v>
      </c>
      <c r="Q34" s="33">
        <f t="shared" si="6"/>
        <v>0</v>
      </c>
      <c r="R34" s="33">
        <f t="shared" si="6"/>
        <v>0</v>
      </c>
      <c r="S34" s="33">
        <f t="shared" si="6"/>
        <v>0</v>
      </c>
      <c r="T34" s="33">
        <f t="shared" si="6"/>
        <v>0</v>
      </c>
      <c r="U34" s="33">
        <f t="shared" si="6"/>
        <v>0</v>
      </c>
      <c r="V34" s="33">
        <f t="shared" si="6"/>
        <v>0</v>
      </c>
      <c r="W34" s="33">
        <f t="shared" si="6"/>
        <v>0</v>
      </c>
      <c r="X34" s="33">
        <f t="shared" si="6"/>
        <v>0</v>
      </c>
      <c r="Y34" s="33">
        <f t="shared" si="6"/>
        <v>0</v>
      </c>
      <c r="Z34" s="33">
        <f t="shared" si="6"/>
        <v>0</v>
      </c>
      <c r="AA34" s="33">
        <f t="shared" si="6"/>
        <v>0</v>
      </c>
      <c r="AB34" s="33">
        <f t="shared" si="6"/>
        <v>0</v>
      </c>
      <c r="AC34" s="33">
        <f t="shared" si="6"/>
        <v>0</v>
      </c>
      <c r="AD34" s="33">
        <f t="shared" si="6"/>
        <v>0</v>
      </c>
      <c r="AE34" s="33">
        <f t="shared" si="6"/>
        <v>0</v>
      </c>
      <c r="AF34" s="33">
        <f t="shared" si="6"/>
        <v>0</v>
      </c>
      <c r="AG34" s="33">
        <f t="shared" si="6"/>
        <v>0</v>
      </c>
      <c r="AH34" s="34">
        <f t="shared" si="6"/>
        <v>2752985</v>
      </c>
    </row>
    <row r="35">
      <c r="A35" s="35" t="s">
        <v>33</v>
      </c>
      <c r="B35" s="36">
        <f t="shared" si="7"/>
        <v>0.1527092044</v>
      </c>
      <c r="C35" s="37">
        <f t="shared" ref="C35:AH35" si="8">sum(C36:C54)</f>
        <v>500000</v>
      </c>
      <c r="D35" s="37">
        <f t="shared" si="8"/>
        <v>0</v>
      </c>
      <c r="E35" s="37">
        <f t="shared" si="8"/>
        <v>0</v>
      </c>
      <c r="F35" s="37">
        <f t="shared" si="8"/>
        <v>101904</v>
      </c>
      <c r="G35" s="37">
        <f t="shared" si="8"/>
        <v>98133</v>
      </c>
      <c r="H35" s="37">
        <f t="shared" si="8"/>
        <v>0</v>
      </c>
      <c r="I35" s="37">
        <f t="shared" si="8"/>
        <v>0</v>
      </c>
      <c r="J35" s="37">
        <f t="shared" si="8"/>
        <v>0</v>
      </c>
      <c r="K35" s="37">
        <f t="shared" si="8"/>
        <v>0</v>
      </c>
      <c r="L35" s="37">
        <f t="shared" si="8"/>
        <v>1878860</v>
      </c>
      <c r="M35" s="37">
        <f t="shared" si="8"/>
        <v>0</v>
      </c>
      <c r="N35" s="37">
        <f t="shared" si="8"/>
        <v>0</v>
      </c>
      <c r="O35" s="37">
        <f t="shared" si="8"/>
        <v>0</v>
      </c>
      <c r="P35" s="37">
        <f t="shared" si="8"/>
        <v>0</v>
      </c>
      <c r="Q35" s="37">
        <f t="shared" si="8"/>
        <v>0</v>
      </c>
      <c r="R35" s="37">
        <f t="shared" si="8"/>
        <v>0</v>
      </c>
      <c r="S35" s="37">
        <f t="shared" si="8"/>
        <v>0</v>
      </c>
      <c r="T35" s="37">
        <f t="shared" si="8"/>
        <v>0</v>
      </c>
      <c r="U35" s="37">
        <f t="shared" si="8"/>
        <v>0</v>
      </c>
      <c r="V35" s="37">
        <f t="shared" si="8"/>
        <v>0</v>
      </c>
      <c r="W35" s="37">
        <f t="shared" si="8"/>
        <v>0</v>
      </c>
      <c r="X35" s="37">
        <f t="shared" si="8"/>
        <v>0</v>
      </c>
      <c r="Y35" s="37">
        <f t="shared" si="8"/>
        <v>0</v>
      </c>
      <c r="Z35" s="37">
        <f t="shared" si="8"/>
        <v>0</v>
      </c>
      <c r="AA35" s="37">
        <f t="shared" si="8"/>
        <v>0</v>
      </c>
      <c r="AB35" s="37">
        <f t="shared" si="8"/>
        <v>0</v>
      </c>
      <c r="AC35" s="37">
        <f t="shared" si="8"/>
        <v>0</v>
      </c>
      <c r="AD35" s="37">
        <f t="shared" si="8"/>
        <v>0</v>
      </c>
      <c r="AE35" s="37">
        <f t="shared" si="8"/>
        <v>0</v>
      </c>
      <c r="AF35" s="37">
        <f t="shared" si="8"/>
        <v>0</v>
      </c>
      <c r="AG35" s="37">
        <f t="shared" si="8"/>
        <v>0</v>
      </c>
      <c r="AH35" s="38">
        <f t="shared" si="8"/>
        <v>2578897</v>
      </c>
    </row>
    <row r="36">
      <c r="A36" s="16" t="s">
        <v>34</v>
      </c>
      <c r="B36" s="27">
        <f t="shared" si="7"/>
        <v>0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20">
        <v>0.0</v>
      </c>
      <c r="R36" s="20">
        <v>0.0</v>
      </c>
      <c r="S36" s="20">
        <v>0.0</v>
      </c>
      <c r="T36" s="20">
        <v>0.0</v>
      </c>
      <c r="U36" s="20">
        <v>0.0</v>
      </c>
      <c r="V36" s="20">
        <v>0.0</v>
      </c>
      <c r="W36" s="20">
        <v>0.0</v>
      </c>
      <c r="X36" s="20">
        <v>0.0</v>
      </c>
      <c r="Y36" s="20">
        <v>0.0</v>
      </c>
      <c r="Z36" s="20">
        <v>0.0</v>
      </c>
      <c r="AA36" s="20">
        <v>0.0</v>
      </c>
      <c r="AB36" s="20">
        <v>0.0</v>
      </c>
      <c r="AC36" s="20">
        <v>0.0</v>
      </c>
      <c r="AD36" s="20">
        <v>0.0</v>
      </c>
      <c r="AE36" s="20">
        <v>0.0</v>
      </c>
      <c r="AF36" s="20">
        <v>0.0</v>
      </c>
      <c r="AG36" s="20">
        <v>0.0</v>
      </c>
      <c r="AH36" s="19">
        <f t="shared" ref="AH36:AH54" si="9">SUM(C36:AG36)</f>
        <v>0</v>
      </c>
    </row>
    <row r="37">
      <c r="A37" s="16" t="s">
        <v>35</v>
      </c>
      <c r="B37" s="27">
        <f t="shared" si="7"/>
        <v>0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0.0</v>
      </c>
      <c r="R37" s="20">
        <v>0.0</v>
      </c>
      <c r="S37" s="20">
        <v>0.0</v>
      </c>
      <c r="T37" s="20">
        <v>0.0</v>
      </c>
      <c r="U37" s="20">
        <v>0.0</v>
      </c>
      <c r="V37" s="20">
        <v>0.0</v>
      </c>
      <c r="W37" s="20">
        <v>0.0</v>
      </c>
      <c r="X37" s="20">
        <v>0.0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20">
        <v>0.0</v>
      </c>
      <c r="AF37" s="20">
        <v>0.0</v>
      </c>
      <c r="AG37" s="20">
        <v>0.0</v>
      </c>
      <c r="AH37" s="19">
        <f t="shared" si="9"/>
        <v>0</v>
      </c>
    </row>
    <row r="38">
      <c r="A38" s="16" t="s">
        <v>36</v>
      </c>
      <c r="B38" s="27">
        <f t="shared" si="7"/>
        <v>0</v>
      </c>
      <c r="C38" s="20">
        <v>0.0</v>
      </c>
      <c r="D38" s="20">
        <v>0.0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20">
        <v>0.0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0.0</v>
      </c>
      <c r="R38" s="20">
        <v>0.0</v>
      </c>
      <c r="S38" s="20">
        <v>0.0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0.0</v>
      </c>
      <c r="Z38" s="20">
        <v>0.0</v>
      </c>
      <c r="AA38" s="20">
        <v>0.0</v>
      </c>
      <c r="AB38" s="20">
        <v>0.0</v>
      </c>
      <c r="AC38" s="20">
        <v>0.0</v>
      </c>
      <c r="AD38" s="20">
        <v>0.0</v>
      </c>
      <c r="AE38" s="20">
        <v>0.0</v>
      </c>
      <c r="AF38" s="20">
        <v>0.0</v>
      </c>
      <c r="AG38" s="20">
        <v>0.0</v>
      </c>
      <c r="AH38" s="19">
        <f t="shared" si="9"/>
        <v>0</v>
      </c>
    </row>
    <row r="39">
      <c r="A39" s="16" t="s">
        <v>37</v>
      </c>
      <c r="B39" s="27">
        <f t="shared" si="7"/>
        <v>0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v>0.0</v>
      </c>
      <c r="I39" s="20">
        <v>0.0</v>
      </c>
      <c r="J39" s="20">
        <v>0.0</v>
      </c>
      <c r="K39" s="20">
        <v>0.0</v>
      </c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  <c r="V39" s="20">
        <v>0.0</v>
      </c>
      <c r="W39" s="20">
        <v>0.0</v>
      </c>
      <c r="X39" s="20">
        <v>0.0</v>
      </c>
      <c r="Y39" s="20">
        <v>0.0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20">
        <v>0.0</v>
      </c>
      <c r="AF39" s="20">
        <v>0.0</v>
      </c>
      <c r="AG39" s="20">
        <v>0.0</v>
      </c>
      <c r="AH39" s="19">
        <f t="shared" si="9"/>
        <v>0</v>
      </c>
    </row>
    <row r="40">
      <c r="A40" s="16" t="s">
        <v>38</v>
      </c>
      <c r="B40" s="27">
        <f t="shared" si="7"/>
        <v>0.01184517688</v>
      </c>
      <c r="C40" s="20">
        <v>0.0</v>
      </c>
      <c r="D40" s="20">
        <v>0.0</v>
      </c>
      <c r="E40" s="20">
        <v>0.0</v>
      </c>
      <c r="F40" s="20">
        <f>90123+11781</f>
        <v>101904</v>
      </c>
      <c r="G40" s="17">
        <v>98133.0</v>
      </c>
      <c r="H40" s="20">
        <v>0.0</v>
      </c>
      <c r="I40" s="20">
        <v>0.0</v>
      </c>
      <c r="J40" s="20">
        <v>0.0</v>
      </c>
      <c r="K40" s="20">
        <v>0.0</v>
      </c>
      <c r="L40" s="20">
        <v>0.0</v>
      </c>
      <c r="M40" s="20">
        <v>0.0</v>
      </c>
      <c r="N40" s="20">
        <v>0.0</v>
      </c>
      <c r="O40" s="20">
        <v>0.0</v>
      </c>
      <c r="P40" s="20">
        <v>0.0</v>
      </c>
      <c r="Q40" s="20">
        <v>0.0</v>
      </c>
      <c r="R40" s="20">
        <v>0.0</v>
      </c>
      <c r="S40" s="20">
        <v>0.0</v>
      </c>
      <c r="T40" s="20">
        <v>0.0</v>
      </c>
      <c r="U40" s="20">
        <v>0.0</v>
      </c>
      <c r="V40" s="20">
        <v>0.0</v>
      </c>
      <c r="W40" s="20">
        <v>0.0</v>
      </c>
      <c r="X40" s="20">
        <v>0.0</v>
      </c>
      <c r="Y40" s="20">
        <v>0.0</v>
      </c>
      <c r="Z40" s="20">
        <v>0.0</v>
      </c>
      <c r="AA40" s="20">
        <v>0.0</v>
      </c>
      <c r="AB40" s="20">
        <v>0.0</v>
      </c>
      <c r="AC40" s="20">
        <v>0.0</v>
      </c>
      <c r="AD40" s="20">
        <v>0.0</v>
      </c>
      <c r="AE40" s="20">
        <v>0.0</v>
      </c>
      <c r="AF40" s="20">
        <v>0.0</v>
      </c>
      <c r="AG40" s="20">
        <v>0.0</v>
      </c>
      <c r="AH40" s="19">
        <f t="shared" si="9"/>
        <v>200037</v>
      </c>
    </row>
    <row r="41">
      <c r="A41" s="16" t="s">
        <v>39</v>
      </c>
      <c r="B41" s="27">
        <f t="shared" si="7"/>
        <v>0</v>
      </c>
      <c r="C41" s="20">
        <v>0.0</v>
      </c>
      <c r="D41" s="20">
        <v>0.0</v>
      </c>
      <c r="E41" s="20">
        <v>0.0</v>
      </c>
      <c r="F41" s="20">
        <v>0.0</v>
      </c>
      <c r="G41" s="20">
        <v>0.0</v>
      </c>
      <c r="H41" s="20">
        <v>0.0</v>
      </c>
      <c r="I41" s="20">
        <v>0.0</v>
      </c>
      <c r="J41" s="20">
        <v>0.0</v>
      </c>
      <c r="K41" s="20">
        <v>0.0</v>
      </c>
      <c r="L41" s="20">
        <v>0.0</v>
      </c>
      <c r="M41" s="20">
        <v>0.0</v>
      </c>
      <c r="N41" s="20">
        <v>0.0</v>
      </c>
      <c r="O41" s="20">
        <v>0.0</v>
      </c>
      <c r="P41" s="20">
        <v>0.0</v>
      </c>
      <c r="Q41" s="20">
        <v>0.0</v>
      </c>
      <c r="R41" s="20">
        <v>0.0</v>
      </c>
      <c r="S41" s="20">
        <v>0.0</v>
      </c>
      <c r="T41" s="20">
        <v>0.0</v>
      </c>
      <c r="U41" s="20">
        <v>0.0</v>
      </c>
      <c r="V41" s="20">
        <v>0.0</v>
      </c>
      <c r="W41" s="20">
        <v>0.0</v>
      </c>
      <c r="X41" s="20">
        <v>0.0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20">
        <v>0.0</v>
      </c>
      <c r="AE41" s="20">
        <v>0.0</v>
      </c>
      <c r="AF41" s="20">
        <v>0.0</v>
      </c>
      <c r="AG41" s="20">
        <v>0.0</v>
      </c>
      <c r="AH41" s="19">
        <f t="shared" si="9"/>
        <v>0</v>
      </c>
    </row>
    <row r="42">
      <c r="A42" s="16" t="s">
        <v>40</v>
      </c>
      <c r="B42" s="27">
        <f t="shared" si="7"/>
        <v>0</v>
      </c>
      <c r="C42" s="20">
        <v>0.0</v>
      </c>
      <c r="D42" s="20">
        <v>0.0</v>
      </c>
      <c r="E42" s="20">
        <v>0.0</v>
      </c>
      <c r="F42" s="20">
        <v>0.0</v>
      </c>
      <c r="G42" s="20">
        <v>0.0</v>
      </c>
      <c r="H42" s="20">
        <v>0.0</v>
      </c>
      <c r="I42" s="20">
        <v>0.0</v>
      </c>
      <c r="J42" s="20">
        <v>0.0</v>
      </c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0.0</v>
      </c>
      <c r="AF42" s="20">
        <v>0.0</v>
      </c>
      <c r="AG42" s="20">
        <v>0.0</v>
      </c>
      <c r="AH42" s="19">
        <f t="shared" si="9"/>
        <v>0</v>
      </c>
    </row>
    <row r="43">
      <c r="A43" s="16" t="s">
        <v>41</v>
      </c>
      <c r="B43" s="27">
        <f t="shared" si="7"/>
        <v>0</v>
      </c>
      <c r="C43" s="20">
        <v>0.0</v>
      </c>
      <c r="D43" s="20">
        <v>0.0</v>
      </c>
      <c r="E43" s="20">
        <v>0.0</v>
      </c>
      <c r="F43" s="20">
        <v>0.0</v>
      </c>
      <c r="G43" s="20">
        <v>0.0</v>
      </c>
      <c r="H43" s="20">
        <v>0.0</v>
      </c>
      <c r="I43" s="20">
        <v>0.0</v>
      </c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20">
        <v>0.0</v>
      </c>
      <c r="AD43" s="20">
        <v>0.0</v>
      </c>
      <c r="AE43" s="20">
        <v>0.0</v>
      </c>
      <c r="AF43" s="20">
        <v>0.0</v>
      </c>
      <c r="AG43" s="20">
        <v>0.0</v>
      </c>
      <c r="AH43" s="19">
        <f t="shared" si="9"/>
        <v>0</v>
      </c>
    </row>
    <row r="44">
      <c r="A44" s="16" t="s">
        <v>42</v>
      </c>
      <c r="B44" s="27">
        <f t="shared" si="7"/>
        <v>0.1112565627</v>
      </c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20">
        <v>0.0</v>
      </c>
      <c r="J44" s="20">
        <v>0.0</v>
      </c>
      <c r="K44" s="20">
        <v>0.0</v>
      </c>
      <c r="L44" s="17">
        <v>1878860.0</v>
      </c>
      <c r="M44" s="20">
        <v>0.0</v>
      </c>
      <c r="N44" s="20">
        <v>0.0</v>
      </c>
      <c r="O44" s="20">
        <v>0.0</v>
      </c>
      <c r="P44" s="20">
        <v>0.0</v>
      </c>
      <c r="Q44" s="20">
        <v>0.0</v>
      </c>
      <c r="R44" s="20">
        <v>0.0</v>
      </c>
      <c r="S44" s="20">
        <v>0.0</v>
      </c>
      <c r="T44" s="20">
        <v>0.0</v>
      </c>
      <c r="U44" s="20">
        <v>0.0</v>
      </c>
      <c r="V44" s="20">
        <v>0.0</v>
      </c>
      <c r="W44" s="20">
        <v>0.0</v>
      </c>
      <c r="X44" s="20">
        <v>0.0</v>
      </c>
      <c r="Y44" s="20">
        <v>0.0</v>
      </c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20">
        <v>0.0</v>
      </c>
      <c r="AF44" s="20">
        <v>0.0</v>
      </c>
      <c r="AG44" s="20">
        <v>0.0</v>
      </c>
      <c r="AH44" s="19">
        <f t="shared" si="9"/>
        <v>1878860</v>
      </c>
    </row>
    <row r="45">
      <c r="A45" s="16" t="s">
        <v>43</v>
      </c>
      <c r="B45" s="27">
        <f t="shared" si="7"/>
        <v>0</v>
      </c>
      <c r="C45" s="20">
        <v>0.0</v>
      </c>
      <c r="D45" s="20">
        <v>0.0</v>
      </c>
      <c r="E45" s="20">
        <v>0.0</v>
      </c>
      <c r="F45" s="20">
        <v>0.0</v>
      </c>
      <c r="G45" s="20">
        <v>0.0</v>
      </c>
      <c r="H45" s="20">
        <v>0.0</v>
      </c>
      <c r="I45" s="20">
        <v>0.0</v>
      </c>
      <c r="J45" s="20">
        <v>0.0</v>
      </c>
      <c r="K45" s="20">
        <v>0.0</v>
      </c>
      <c r="L45" s="20">
        <v>0.0</v>
      </c>
      <c r="M45" s="20">
        <v>0.0</v>
      </c>
      <c r="N45" s="20">
        <v>0.0</v>
      </c>
      <c r="O45" s="20">
        <v>0.0</v>
      </c>
      <c r="P45" s="20">
        <v>0.0</v>
      </c>
      <c r="Q45" s="20">
        <v>0.0</v>
      </c>
      <c r="R45" s="20">
        <v>0.0</v>
      </c>
      <c r="S45" s="20">
        <v>0.0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20">
        <v>0.0</v>
      </c>
      <c r="AA45" s="20">
        <v>0.0</v>
      </c>
      <c r="AB45" s="20">
        <v>0.0</v>
      </c>
      <c r="AC45" s="20">
        <v>0.0</v>
      </c>
      <c r="AD45" s="20">
        <v>0.0</v>
      </c>
      <c r="AE45" s="20">
        <v>0.0</v>
      </c>
      <c r="AF45" s="20">
        <v>0.0</v>
      </c>
      <c r="AG45" s="20">
        <v>0.0</v>
      </c>
      <c r="AH45" s="19">
        <f t="shared" si="9"/>
        <v>0</v>
      </c>
    </row>
    <row r="46">
      <c r="A46" s="28" t="s">
        <v>44</v>
      </c>
      <c r="B46" s="27">
        <f t="shared" si="7"/>
        <v>0</v>
      </c>
      <c r="C46" s="20">
        <v>0.0</v>
      </c>
      <c r="D46" s="20">
        <v>0.0</v>
      </c>
      <c r="E46" s="20">
        <v>0.0</v>
      </c>
      <c r="F46" s="20">
        <v>0.0</v>
      </c>
      <c r="G46" s="20">
        <v>0.0</v>
      </c>
      <c r="H46" s="20">
        <v>0.0</v>
      </c>
      <c r="I46" s="20">
        <v>0.0</v>
      </c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  <c r="V46" s="20">
        <v>0.0</v>
      </c>
      <c r="W46" s="20">
        <v>0.0</v>
      </c>
      <c r="X46" s="20">
        <v>0.0</v>
      </c>
      <c r="Y46" s="20">
        <v>0.0</v>
      </c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20">
        <v>0.0</v>
      </c>
      <c r="AF46" s="20">
        <v>0.0</v>
      </c>
      <c r="AG46" s="20">
        <v>0.0</v>
      </c>
      <c r="AH46" s="19">
        <f t="shared" si="9"/>
        <v>0</v>
      </c>
    </row>
    <row r="47">
      <c r="A47" s="16" t="s">
        <v>45</v>
      </c>
      <c r="B47" s="27">
        <f t="shared" si="7"/>
        <v>0</v>
      </c>
      <c r="C47" s="20">
        <v>0.0</v>
      </c>
      <c r="D47" s="20">
        <v>0.0</v>
      </c>
      <c r="E47" s="20">
        <v>0.0</v>
      </c>
      <c r="F47" s="20">
        <v>0.0</v>
      </c>
      <c r="G47" s="20">
        <v>0.0</v>
      </c>
      <c r="H47" s="20">
        <v>0.0</v>
      </c>
      <c r="I47" s="20">
        <v>0.0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0">
        <v>0.0</v>
      </c>
      <c r="Q47" s="20">
        <v>0.0</v>
      </c>
      <c r="R47" s="20">
        <v>0.0</v>
      </c>
      <c r="S47" s="20">
        <v>0.0</v>
      </c>
      <c r="T47" s="20">
        <v>0.0</v>
      </c>
      <c r="U47" s="20">
        <v>0.0</v>
      </c>
      <c r="V47" s="20">
        <v>0.0</v>
      </c>
      <c r="W47" s="20">
        <v>0.0</v>
      </c>
      <c r="X47" s="20">
        <v>0.0</v>
      </c>
      <c r="Y47" s="20">
        <v>0.0</v>
      </c>
      <c r="Z47" s="20">
        <v>0.0</v>
      </c>
      <c r="AA47" s="20">
        <v>0.0</v>
      </c>
      <c r="AB47" s="20">
        <v>0.0</v>
      </c>
      <c r="AC47" s="20">
        <v>0.0</v>
      </c>
      <c r="AD47" s="20">
        <v>0.0</v>
      </c>
      <c r="AE47" s="20">
        <v>0.0</v>
      </c>
      <c r="AF47" s="20">
        <v>0.0</v>
      </c>
      <c r="AG47" s="20">
        <v>0.0</v>
      </c>
      <c r="AH47" s="19">
        <f t="shared" si="9"/>
        <v>0</v>
      </c>
    </row>
    <row r="48">
      <c r="A48" s="16" t="s">
        <v>46</v>
      </c>
      <c r="B48" s="27">
        <f t="shared" si="7"/>
        <v>0</v>
      </c>
      <c r="C48" s="20">
        <v>0.0</v>
      </c>
      <c r="D48" s="20">
        <v>0.0</v>
      </c>
      <c r="E48" s="20">
        <v>0.0</v>
      </c>
      <c r="F48" s="20">
        <v>0.0</v>
      </c>
      <c r="G48" s="20">
        <v>0.0</v>
      </c>
      <c r="H48" s="20">
        <v>0.0</v>
      </c>
      <c r="I48" s="20">
        <v>0.0</v>
      </c>
      <c r="J48" s="20">
        <v>0.0</v>
      </c>
      <c r="K48" s="20">
        <v>0.0</v>
      </c>
      <c r="L48" s="20">
        <v>0.0</v>
      </c>
      <c r="M48" s="20">
        <v>0.0</v>
      </c>
      <c r="N48" s="20">
        <v>0.0</v>
      </c>
      <c r="O48" s="20">
        <v>0.0</v>
      </c>
      <c r="P48" s="20">
        <v>0.0</v>
      </c>
      <c r="Q48" s="20">
        <v>0.0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20">
        <v>0.0</v>
      </c>
      <c r="Z48" s="20">
        <v>0.0</v>
      </c>
      <c r="AA48" s="20">
        <v>0.0</v>
      </c>
      <c r="AB48" s="20">
        <v>0.0</v>
      </c>
      <c r="AC48" s="20">
        <v>0.0</v>
      </c>
      <c r="AD48" s="20">
        <v>0.0</v>
      </c>
      <c r="AE48" s="20">
        <v>0.0</v>
      </c>
      <c r="AF48" s="20">
        <v>0.0</v>
      </c>
      <c r="AG48" s="20">
        <v>0.0</v>
      </c>
      <c r="AH48" s="19">
        <f t="shared" si="9"/>
        <v>0</v>
      </c>
    </row>
    <row r="49">
      <c r="A49" s="16" t="s">
        <v>47</v>
      </c>
      <c r="B49" s="27">
        <f t="shared" si="7"/>
        <v>0</v>
      </c>
      <c r="C49" s="20">
        <v>0.0</v>
      </c>
      <c r="D49" s="20">
        <v>0.0</v>
      </c>
      <c r="E49" s="20">
        <v>0.0</v>
      </c>
      <c r="F49" s="20">
        <v>0.0</v>
      </c>
      <c r="G49" s="20">
        <v>0.0</v>
      </c>
      <c r="H49" s="20">
        <v>0.0</v>
      </c>
      <c r="I49" s="20">
        <v>0.0</v>
      </c>
      <c r="J49" s="20">
        <v>0.0</v>
      </c>
      <c r="K49" s="20">
        <v>0.0</v>
      </c>
      <c r="L49" s="20">
        <v>0.0</v>
      </c>
      <c r="M49" s="20">
        <v>0.0</v>
      </c>
      <c r="N49" s="20">
        <v>0.0</v>
      </c>
      <c r="O49" s="20">
        <v>0.0</v>
      </c>
      <c r="P49" s="20">
        <v>0.0</v>
      </c>
      <c r="Q49" s="20">
        <v>0.0</v>
      </c>
      <c r="R49" s="20">
        <v>0.0</v>
      </c>
      <c r="S49" s="20">
        <v>0.0</v>
      </c>
      <c r="T49" s="20">
        <v>0.0</v>
      </c>
      <c r="U49" s="20">
        <v>0.0</v>
      </c>
      <c r="V49" s="20">
        <v>0.0</v>
      </c>
      <c r="W49" s="20">
        <v>0.0</v>
      </c>
      <c r="X49" s="20">
        <v>0.0</v>
      </c>
      <c r="Y49" s="20">
        <v>0.0</v>
      </c>
      <c r="Z49" s="20">
        <v>0.0</v>
      </c>
      <c r="AA49" s="20">
        <v>0.0</v>
      </c>
      <c r="AB49" s="20">
        <v>0.0</v>
      </c>
      <c r="AC49" s="20">
        <v>0.0</v>
      </c>
      <c r="AD49" s="20">
        <v>0.0</v>
      </c>
      <c r="AE49" s="20">
        <v>0.0</v>
      </c>
      <c r="AF49" s="20">
        <v>0.0</v>
      </c>
      <c r="AG49" s="20">
        <v>0.0</v>
      </c>
      <c r="AH49" s="19">
        <f t="shared" si="9"/>
        <v>0</v>
      </c>
    </row>
    <row r="50">
      <c r="A50" s="16" t="s">
        <v>48</v>
      </c>
      <c r="B50" s="27">
        <f t="shared" si="7"/>
        <v>0</v>
      </c>
      <c r="C50" s="20">
        <v>0.0</v>
      </c>
      <c r="D50" s="20">
        <v>0.0</v>
      </c>
      <c r="E50" s="20">
        <v>0.0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20">
        <v>0.0</v>
      </c>
      <c r="N50" s="20">
        <v>0.0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20">
        <v>0.0</v>
      </c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20">
        <v>0.0</v>
      </c>
      <c r="AF50" s="20">
        <v>0.0</v>
      </c>
      <c r="AG50" s="20">
        <v>0.0</v>
      </c>
      <c r="AH50" s="19">
        <f t="shared" si="9"/>
        <v>0</v>
      </c>
    </row>
    <row r="51">
      <c r="A51" s="16" t="s">
        <v>49</v>
      </c>
      <c r="B51" s="27">
        <f t="shared" si="7"/>
        <v>0</v>
      </c>
      <c r="C51" s="20">
        <v>0.0</v>
      </c>
      <c r="D51" s="20">
        <v>0.0</v>
      </c>
      <c r="E51" s="20">
        <v>0.0</v>
      </c>
      <c r="F51" s="20">
        <v>0.0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  <c r="V51" s="20">
        <v>0.0</v>
      </c>
      <c r="W51" s="20">
        <v>0.0</v>
      </c>
      <c r="X51" s="20">
        <v>0.0</v>
      </c>
      <c r="Y51" s="20">
        <v>0.0</v>
      </c>
      <c r="Z51" s="20">
        <v>0.0</v>
      </c>
      <c r="AA51" s="20">
        <v>0.0</v>
      </c>
      <c r="AB51" s="20">
        <v>0.0</v>
      </c>
      <c r="AC51" s="20">
        <v>0.0</v>
      </c>
      <c r="AD51" s="20">
        <v>0.0</v>
      </c>
      <c r="AE51" s="20">
        <v>0.0</v>
      </c>
      <c r="AF51" s="20">
        <v>0.0</v>
      </c>
      <c r="AG51" s="20">
        <v>0.0</v>
      </c>
      <c r="AH51" s="19">
        <f t="shared" si="9"/>
        <v>0</v>
      </c>
    </row>
    <row r="52">
      <c r="A52" s="16" t="s">
        <v>50</v>
      </c>
      <c r="B52" s="27">
        <f t="shared" si="7"/>
        <v>0</v>
      </c>
      <c r="C52" s="20">
        <v>0.0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20">
        <v>0.0</v>
      </c>
      <c r="J52" s="20">
        <v>0.0</v>
      </c>
      <c r="K52" s="20">
        <v>0.0</v>
      </c>
      <c r="L52" s="20">
        <v>0.0</v>
      </c>
      <c r="M52" s="20">
        <v>0.0</v>
      </c>
      <c r="N52" s="20">
        <v>0.0</v>
      </c>
      <c r="O52" s="20">
        <v>0.0</v>
      </c>
      <c r="P52" s="20">
        <v>0.0</v>
      </c>
      <c r="Q52" s="20">
        <v>0.0</v>
      </c>
      <c r="R52" s="20">
        <v>0.0</v>
      </c>
      <c r="S52" s="20">
        <v>0.0</v>
      </c>
      <c r="T52" s="20">
        <v>0.0</v>
      </c>
      <c r="U52" s="20">
        <v>0.0</v>
      </c>
      <c r="V52" s="20">
        <v>0.0</v>
      </c>
      <c r="W52" s="20">
        <v>0.0</v>
      </c>
      <c r="X52" s="20">
        <v>0.0</v>
      </c>
      <c r="Y52" s="20">
        <v>0.0</v>
      </c>
      <c r="Z52" s="20">
        <v>0.0</v>
      </c>
      <c r="AA52" s="20">
        <v>0.0</v>
      </c>
      <c r="AB52" s="20">
        <v>0.0</v>
      </c>
      <c r="AC52" s="20">
        <v>0.0</v>
      </c>
      <c r="AD52" s="20">
        <v>0.0</v>
      </c>
      <c r="AE52" s="20">
        <v>0.0</v>
      </c>
      <c r="AF52" s="20">
        <v>0.0</v>
      </c>
      <c r="AG52" s="20">
        <v>0.0</v>
      </c>
      <c r="AH52" s="19">
        <f t="shared" si="9"/>
        <v>0</v>
      </c>
    </row>
    <row r="53">
      <c r="A53" s="16" t="s">
        <v>51</v>
      </c>
      <c r="B53" s="27">
        <f t="shared" si="7"/>
        <v>0</v>
      </c>
      <c r="C53" s="20">
        <v>0.0</v>
      </c>
      <c r="D53" s="20">
        <v>0.0</v>
      </c>
      <c r="E53" s="20">
        <v>0.0</v>
      </c>
      <c r="F53" s="20">
        <v>0.0</v>
      </c>
      <c r="G53" s="20">
        <v>0.0</v>
      </c>
      <c r="H53" s="20">
        <v>0.0</v>
      </c>
      <c r="I53" s="20">
        <v>0.0</v>
      </c>
      <c r="J53" s="20">
        <v>0.0</v>
      </c>
      <c r="K53" s="20">
        <v>0.0</v>
      </c>
      <c r="L53" s="20">
        <v>0.0</v>
      </c>
      <c r="M53" s="20">
        <v>0.0</v>
      </c>
      <c r="N53" s="20">
        <v>0.0</v>
      </c>
      <c r="O53" s="20">
        <v>0.0</v>
      </c>
      <c r="P53" s="20">
        <v>0.0</v>
      </c>
      <c r="Q53" s="20">
        <v>0.0</v>
      </c>
      <c r="R53" s="20">
        <v>0.0</v>
      </c>
      <c r="S53" s="20">
        <v>0.0</v>
      </c>
      <c r="T53" s="20">
        <v>0.0</v>
      </c>
      <c r="U53" s="20">
        <v>0.0</v>
      </c>
      <c r="V53" s="20">
        <v>0.0</v>
      </c>
      <c r="W53" s="20">
        <v>0.0</v>
      </c>
      <c r="X53" s="20">
        <v>0.0</v>
      </c>
      <c r="Y53" s="20">
        <v>0.0</v>
      </c>
      <c r="Z53" s="20">
        <v>0.0</v>
      </c>
      <c r="AA53" s="20">
        <v>0.0</v>
      </c>
      <c r="AB53" s="20">
        <v>0.0</v>
      </c>
      <c r="AC53" s="20">
        <v>0.0</v>
      </c>
      <c r="AD53" s="20">
        <v>0.0</v>
      </c>
      <c r="AE53" s="20">
        <v>0.0</v>
      </c>
      <c r="AF53" s="20">
        <v>0.0</v>
      </c>
      <c r="AG53" s="20">
        <v>0.0</v>
      </c>
      <c r="AH53" s="19">
        <f t="shared" si="9"/>
        <v>0</v>
      </c>
    </row>
    <row r="54">
      <c r="A54" s="16" t="s">
        <v>52</v>
      </c>
      <c r="B54" s="27">
        <f t="shared" si="7"/>
        <v>0.02960746482</v>
      </c>
      <c r="C54" s="17">
        <v>500000.0</v>
      </c>
      <c r="D54" s="20">
        <v>0.0</v>
      </c>
      <c r="E54" s="20">
        <v>0.0</v>
      </c>
      <c r="F54" s="20">
        <v>0.0</v>
      </c>
      <c r="G54" s="20">
        <v>0.0</v>
      </c>
      <c r="H54" s="20">
        <v>0.0</v>
      </c>
      <c r="I54" s="20">
        <v>0.0</v>
      </c>
      <c r="J54" s="20">
        <v>0.0</v>
      </c>
      <c r="K54" s="20">
        <v>0.0</v>
      </c>
      <c r="L54" s="20">
        <v>0.0</v>
      </c>
      <c r="M54" s="20">
        <v>0.0</v>
      </c>
      <c r="N54" s="20">
        <v>0.0</v>
      </c>
      <c r="O54" s="20">
        <v>0.0</v>
      </c>
      <c r="P54" s="20">
        <v>0.0</v>
      </c>
      <c r="Q54" s="20">
        <v>0.0</v>
      </c>
      <c r="R54" s="20">
        <v>0.0</v>
      </c>
      <c r="S54" s="20">
        <v>0.0</v>
      </c>
      <c r="T54" s="20">
        <v>0.0</v>
      </c>
      <c r="U54" s="20">
        <v>0.0</v>
      </c>
      <c r="V54" s="20">
        <v>0.0</v>
      </c>
      <c r="W54" s="20">
        <v>0.0</v>
      </c>
      <c r="X54" s="20">
        <v>0.0</v>
      </c>
      <c r="Y54" s="20">
        <v>0.0</v>
      </c>
      <c r="Z54" s="20">
        <v>0.0</v>
      </c>
      <c r="AA54" s="20">
        <v>0.0</v>
      </c>
      <c r="AB54" s="20">
        <v>0.0</v>
      </c>
      <c r="AC54" s="20">
        <v>0.0</v>
      </c>
      <c r="AD54" s="20">
        <v>0.0</v>
      </c>
      <c r="AE54" s="20">
        <v>0.0</v>
      </c>
      <c r="AF54" s="20">
        <v>0.0</v>
      </c>
      <c r="AG54" s="20">
        <v>0.0</v>
      </c>
      <c r="AH54" s="19">
        <f t="shared" si="9"/>
        <v>500000</v>
      </c>
    </row>
    <row r="55">
      <c r="A55" s="35" t="s">
        <v>53</v>
      </c>
      <c r="B55" s="36">
        <f t="shared" si="7"/>
        <v>0.00023987968</v>
      </c>
      <c r="C55" s="37">
        <f t="shared" ref="C55:AE55" si="10">sum(C56:C63)</f>
        <v>0</v>
      </c>
      <c r="D55" s="37">
        <f t="shared" si="10"/>
        <v>0</v>
      </c>
      <c r="E55" s="37">
        <f t="shared" si="10"/>
        <v>0</v>
      </c>
      <c r="F55" s="37">
        <f t="shared" si="10"/>
        <v>0</v>
      </c>
      <c r="G55" s="37">
        <f t="shared" si="10"/>
        <v>0</v>
      </c>
      <c r="H55" s="37">
        <f t="shared" si="10"/>
        <v>4051</v>
      </c>
      <c r="I55" s="37">
        <f t="shared" si="10"/>
        <v>0</v>
      </c>
      <c r="J55" s="37">
        <f t="shared" si="10"/>
        <v>0</v>
      </c>
      <c r="K55" s="37">
        <f t="shared" si="10"/>
        <v>0</v>
      </c>
      <c r="L55" s="37">
        <f t="shared" si="10"/>
        <v>0</v>
      </c>
      <c r="M55" s="37">
        <f t="shared" si="10"/>
        <v>0</v>
      </c>
      <c r="N55" s="37">
        <f t="shared" si="10"/>
        <v>0</v>
      </c>
      <c r="O55" s="37">
        <f t="shared" si="10"/>
        <v>0</v>
      </c>
      <c r="P55" s="37">
        <f t="shared" si="10"/>
        <v>0</v>
      </c>
      <c r="Q55" s="37">
        <f t="shared" si="10"/>
        <v>0</v>
      </c>
      <c r="R55" s="37">
        <f t="shared" si="10"/>
        <v>0</v>
      </c>
      <c r="S55" s="37">
        <f t="shared" si="10"/>
        <v>0</v>
      </c>
      <c r="T55" s="37">
        <f t="shared" si="10"/>
        <v>0</v>
      </c>
      <c r="U55" s="37">
        <f t="shared" si="10"/>
        <v>0</v>
      </c>
      <c r="V55" s="37">
        <f t="shared" si="10"/>
        <v>0</v>
      </c>
      <c r="W55" s="37">
        <f t="shared" si="10"/>
        <v>0</v>
      </c>
      <c r="X55" s="37">
        <f t="shared" si="10"/>
        <v>0</v>
      </c>
      <c r="Y55" s="37">
        <f t="shared" si="10"/>
        <v>0</v>
      </c>
      <c r="Z55" s="37">
        <f t="shared" si="10"/>
        <v>0</v>
      </c>
      <c r="AA55" s="37">
        <f t="shared" si="10"/>
        <v>0</v>
      </c>
      <c r="AB55" s="37">
        <f t="shared" si="10"/>
        <v>0</v>
      </c>
      <c r="AC55" s="37">
        <f t="shared" si="10"/>
        <v>0</v>
      </c>
      <c r="AD55" s="37">
        <f t="shared" si="10"/>
        <v>0</v>
      </c>
      <c r="AE55" s="37">
        <f t="shared" si="10"/>
        <v>0</v>
      </c>
      <c r="AF55" s="37">
        <f>SUM(AF56:AF63)</f>
        <v>0</v>
      </c>
      <c r="AG55" s="37">
        <f>sum(AG56:AG63)</f>
        <v>0</v>
      </c>
      <c r="AH55" s="38">
        <f>SUM(AH56:AH63)</f>
        <v>4051</v>
      </c>
    </row>
    <row r="56">
      <c r="A56" s="16" t="s">
        <v>54</v>
      </c>
      <c r="B56" s="27">
        <f t="shared" si="7"/>
        <v>0.00023987968</v>
      </c>
      <c r="C56" s="20">
        <v>0.0</v>
      </c>
      <c r="D56" s="20">
        <v>0.0</v>
      </c>
      <c r="E56" s="20">
        <v>0.0</v>
      </c>
      <c r="F56" s="20">
        <v>0.0</v>
      </c>
      <c r="G56" s="20">
        <v>0.0</v>
      </c>
      <c r="H56" s="17">
        <v>4051.0</v>
      </c>
      <c r="I56" s="20">
        <v>0.0</v>
      </c>
      <c r="J56" s="20">
        <v>0.0</v>
      </c>
      <c r="K56" s="20">
        <v>0.0</v>
      </c>
      <c r="L56" s="20">
        <v>0.0</v>
      </c>
      <c r="M56" s="20">
        <v>0.0</v>
      </c>
      <c r="N56" s="20">
        <v>0.0</v>
      </c>
      <c r="O56" s="20">
        <v>0.0</v>
      </c>
      <c r="P56" s="20">
        <v>0.0</v>
      </c>
      <c r="Q56" s="20">
        <v>0.0</v>
      </c>
      <c r="R56" s="20">
        <v>0.0</v>
      </c>
      <c r="S56" s="20">
        <v>0.0</v>
      </c>
      <c r="T56" s="20">
        <v>0.0</v>
      </c>
      <c r="U56" s="20">
        <v>0.0</v>
      </c>
      <c r="V56" s="20">
        <v>0.0</v>
      </c>
      <c r="W56" s="20">
        <v>0.0</v>
      </c>
      <c r="X56" s="20">
        <v>0.0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20">
        <v>0.0</v>
      </c>
      <c r="AF56" s="20">
        <v>0.0</v>
      </c>
      <c r="AG56" s="20">
        <v>0.0</v>
      </c>
      <c r="AH56" s="19">
        <f t="shared" ref="AH56:AH63" si="11">SUM(C56:AG56)</f>
        <v>4051</v>
      </c>
    </row>
    <row r="57">
      <c r="A57" s="16" t="s">
        <v>55</v>
      </c>
      <c r="B57" s="27">
        <f t="shared" si="7"/>
        <v>0</v>
      </c>
      <c r="C57" s="20">
        <v>0.0</v>
      </c>
      <c r="D57" s="20">
        <v>0.0</v>
      </c>
      <c r="E57" s="20">
        <v>0.0</v>
      </c>
      <c r="F57" s="20">
        <v>0.0</v>
      </c>
      <c r="G57" s="20">
        <v>0.0</v>
      </c>
      <c r="H57" s="20">
        <v>0.0</v>
      </c>
      <c r="I57" s="20">
        <v>0.0</v>
      </c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0.0</v>
      </c>
      <c r="U57" s="20">
        <v>0.0</v>
      </c>
      <c r="V57" s="20">
        <v>0.0</v>
      </c>
      <c r="W57" s="20">
        <v>0.0</v>
      </c>
      <c r="X57" s="20">
        <v>0.0</v>
      </c>
      <c r="Y57" s="20">
        <v>0.0</v>
      </c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20">
        <v>0.0</v>
      </c>
      <c r="AF57" s="20">
        <v>0.0</v>
      </c>
      <c r="AG57" s="20">
        <v>0.0</v>
      </c>
      <c r="AH57" s="19">
        <f t="shared" si="11"/>
        <v>0</v>
      </c>
    </row>
    <row r="58">
      <c r="A58" s="16" t="s">
        <v>56</v>
      </c>
      <c r="B58" s="27">
        <f t="shared" si="7"/>
        <v>0</v>
      </c>
      <c r="C58" s="20">
        <v>0.0</v>
      </c>
      <c r="D58" s="20">
        <v>0.0</v>
      </c>
      <c r="E58" s="20">
        <v>0.0</v>
      </c>
      <c r="F58" s="20">
        <v>0.0</v>
      </c>
      <c r="G58" s="20">
        <v>0.0</v>
      </c>
      <c r="H58" s="20">
        <v>0.0</v>
      </c>
      <c r="I58" s="20">
        <v>0.0</v>
      </c>
      <c r="J58" s="20">
        <v>0.0</v>
      </c>
      <c r="K58" s="20">
        <v>0.0</v>
      </c>
      <c r="L58" s="20">
        <v>0.0</v>
      </c>
      <c r="M58" s="20">
        <v>0.0</v>
      </c>
      <c r="N58" s="20">
        <v>0.0</v>
      </c>
      <c r="O58" s="20">
        <v>0.0</v>
      </c>
      <c r="P58" s="20">
        <v>0.0</v>
      </c>
      <c r="Q58" s="20">
        <v>0.0</v>
      </c>
      <c r="R58" s="20">
        <v>0.0</v>
      </c>
      <c r="S58" s="20">
        <v>0.0</v>
      </c>
      <c r="T58" s="20">
        <v>0.0</v>
      </c>
      <c r="U58" s="20">
        <v>0.0</v>
      </c>
      <c r="V58" s="20">
        <v>0.0</v>
      </c>
      <c r="W58" s="20">
        <v>0.0</v>
      </c>
      <c r="X58" s="20">
        <v>0.0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20">
        <v>0.0</v>
      </c>
      <c r="AE58" s="20">
        <v>0.0</v>
      </c>
      <c r="AF58" s="20">
        <v>0.0</v>
      </c>
      <c r="AG58" s="20">
        <v>0.0</v>
      </c>
      <c r="AH58" s="19">
        <f t="shared" si="11"/>
        <v>0</v>
      </c>
    </row>
    <row r="59">
      <c r="A59" s="16" t="s">
        <v>57</v>
      </c>
      <c r="B59" s="27">
        <f t="shared" si="7"/>
        <v>0</v>
      </c>
      <c r="C59" s="20">
        <v>0.0</v>
      </c>
      <c r="D59" s="20">
        <v>0.0</v>
      </c>
      <c r="E59" s="20">
        <v>0.0</v>
      </c>
      <c r="F59" s="20">
        <v>0.0</v>
      </c>
      <c r="G59" s="20">
        <v>0.0</v>
      </c>
      <c r="H59" s="20">
        <v>0.0</v>
      </c>
      <c r="I59" s="20">
        <v>0.0</v>
      </c>
      <c r="J59" s="20">
        <v>0.0</v>
      </c>
      <c r="K59" s="20">
        <v>0.0</v>
      </c>
      <c r="L59" s="20">
        <v>0.0</v>
      </c>
      <c r="M59" s="20">
        <v>0.0</v>
      </c>
      <c r="N59" s="20">
        <v>0.0</v>
      </c>
      <c r="O59" s="20">
        <v>0.0</v>
      </c>
      <c r="P59" s="20">
        <v>0.0</v>
      </c>
      <c r="Q59" s="20">
        <v>0.0</v>
      </c>
      <c r="R59" s="20">
        <v>0.0</v>
      </c>
      <c r="S59" s="20">
        <v>0.0</v>
      </c>
      <c r="T59" s="20">
        <v>0.0</v>
      </c>
      <c r="U59" s="20">
        <v>0.0</v>
      </c>
      <c r="V59" s="20">
        <v>0.0</v>
      </c>
      <c r="W59" s="20">
        <v>0.0</v>
      </c>
      <c r="X59" s="20">
        <v>0.0</v>
      </c>
      <c r="Y59" s="20">
        <v>0.0</v>
      </c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20">
        <v>0.0</v>
      </c>
      <c r="AF59" s="20">
        <v>0.0</v>
      </c>
      <c r="AG59" s="20">
        <v>0.0</v>
      </c>
      <c r="AH59" s="19">
        <f t="shared" si="11"/>
        <v>0</v>
      </c>
    </row>
    <row r="60">
      <c r="A60" s="16" t="s">
        <v>58</v>
      </c>
      <c r="B60" s="27">
        <f t="shared" si="7"/>
        <v>0</v>
      </c>
      <c r="C60" s="20">
        <v>0.0</v>
      </c>
      <c r="D60" s="20">
        <v>0.0</v>
      </c>
      <c r="E60" s="20">
        <v>0.0</v>
      </c>
      <c r="F60" s="20">
        <v>0.0</v>
      </c>
      <c r="G60" s="20">
        <v>0.0</v>
      </c>
      <c r="H60" s="20">
        <v>0.0</v>
      </c>
      <c r="I60" s="20">
        <v>0.0</v>
      </c>
      <c r="J60" s="20">
        <v>0.0</v>
      </c>
      <c r="K60" s="20">
        <v>0.0</v>
      </c>
      <c r="L60" s="20">
        <v>0.0</v>
      </c>
      <c r="M60" s="20">
        <v>0.0</v>
      </c>
      <c r="N60" s="20">
        <v>0.0</v>
      </c>
      <c r="O60" s="20">
        <v>0.0</v>
      </c>
      <c r="P60" s="20">
        <v>0.0</v>
      </c>
      <c r="Q60" s="20">
        <v>0.0</v>
      </c>
      <c r="R60" s="20">
        <v>0.0</v>
      </c>
      <c r="S60" s="20">
        <v>0.0</v>
      </c>
      <c r="T60" s="20">
        <v>0.0</v>
      </c>
      <c r="U60" s="20">
        <v>0.0</v>
      </c>
      <c r="V60" s="20">
        <v>0.0</v>
      </c>
      <c r="W60" s="20">
        <v>0.0</v>
      </c>
      <c r="X60" s="20">
        <v>0.0</v>
      </c>
      <c r="Y60" s="20">
        <v>0.0</v>
      </c>
      <c r="Z60" s="20">
        <v>0.0</v>
      </c>
      <c r="AA60" s="20">
        <v>0.0</v>
      </c>
      <c r="AB60" s="20">
        <v>0.0</v>
      </c>
      <c r="AC60" s="20">
        <v>0.0</v>
      </c>
      <c r="AD60" s="20">
        <v>0.0</v>
      </c>
      <c r="AE60" s="20">
        <v>0.0</v>
      </c>
      <c r="AF60" s="20">
        <v>0.0</v>
      </c>
      <c r="AG60" s="20">
        <v>0.0</v>
      </c>
      <c r="AH60" s="19">
        <f t="shared" si="11"/>
        <v>0</v>
      </c>
    </row>
    <row r="61">
      <c r="A61" s="16" t="s">
        <v>59</v>
      </c>
      <c r="B61" s="27">
        <f t="shared" si="7"/>
        <v>0</v>
      </c>
      <c r="C61" s="20">
        <v>0.0</v>
      </c>
      <c r="D61" s="20">
        <v>0.0</v>
      </c>
      <c r="E61" s="20">
        <v>0.0</v>
      </c>
      <c r="F61" s="20">
        <v>0.0</v>
      </c>
      <c r="G61" s="20">
        <v>0.0</v>
      </c>
      <c r="H61" s="20">
        <v>0.0</v>
      </c>
      <c r="I61" s="20">
        <v>0.0</v>
      </c>
      <c r="J61" s="20">
        <v>0.0</v>
      </c>
      <c r="K61" s="20">
        <v>0.0</v>
      </c>
      <c r="L61" s="20">
        <v>0.0</v>
      </c>
      <c r="M61" s="20">
        <v>0.0</v>
      </c>
      <c r="N61" s="20">
        <v>0.0</v>
      </c>
      <c r="O61" s="20">
        <v>0.0</v>
      </c>
      <c r="P61" s="20">
        <v>0.0</v>
      </c>
      <c r="Q61" s="20">
        <v>0.0</v>
      </c>
      <c r="R61" s="20">
        <v>0.0</v>
      </c>
      <c r="S61" s="20">
        <v>0.0</v>
      </c>
      <c r="T61" s="20">
        <v>0.0</v>
      </c>
      <c r="U61" s="20">
        <v>0.0</v>
      </c>
      <c r="V61" s="20">
        <v>0.0</v>
      </c>
      <c r="W61" s="20">
        <v>0.0</v>
      </c>
      <c r="X61" s="20">
        <v>0.0</v>
      </c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20">
        <v>0.0</v>
      </c>
      <c r="AF61" s="20">
        <v>0.0</v>
      </c>
      <c r="AG61" s="20">
        <v>0.0</v>
      </c>
      <c r="AH61" s="19">
        <f t="shared" si="11"/>
        <v>0</v>
      </c>
    </row>
    <row r="62">
      <c r="A62" s="16" t="s">
        <v>60</v>
      </c>
      <c r="B62" s="27">
        <f t="shared" si="7"/>
        <v>0</v>
      </c>
      <c r="C62" s="20">
        <v>0.0</v>
      </c>
      <c r="D62" s="20">
        <v>0.0</v>
      </c>
      <c r="E62" s="20">
        <v>0.0</v>
      </c>
      <c r="F62" s="20">
        <v>0.0</v>
      </c>
      <c r="G62" s="20">
        <v>0.0</v>
      </c>
      <c r="H62" s="20">
        <v>0.0</v>
      </c>
      <c r="I62" s="20">
        <v>0.0</v>
      </c>
      <c r="J62" s="20">
        <v>0.0</v>
      </c>
      <c r="K62" s="20">
        <v>0.0</v>
      </c>
      <c r="L62" s="20">
        <v>0.0</v>
      </c>
      <c r="M62" s="20">
        <v>0.0</v>
      </c>
      <c r="N62" s="20">
        <v>0.0</v>
      </c>
      <c r="O62" s="20">
        <v>0.0</v>
      </c>
      <c r="P62" s="20">
        <v>0.0</v>
      </c>
      <c r="Q62" s="20">
        <v>0.0</v>
      </c>
      <c r="R62" s="20">
        <v>0.0</v>
      </c>
      <c r="S62" s="20">
        <v>0.0</v>
      </c>
      <c r="T62" s="20">
        <v>0.0</v>
      </c>
      <c r="U62" s="20">
        <v>0.0</v>
      </c>
      <c r="V62" s="20">
        <v>0.0</v>
      </c>
      <c r="W62" s="20">
        <v>0.0</v>
      </c>
      <c r="X62" s="20">
        <v>0.0</v>
      </c>
      <c r="Y62" s="20">
        <v>0.0</v>
      </c>
      <c r="Z62" s="20">
        <v>0.0</v>
      </c>
      <c r="AA62" s="20">
        <v>0.0</v>
      </c>
      <c r="AB62" s="20">
        <v>0.0</v>
      </c>
      <c r="AC62" s="20">
        <v>0.0</v>
      </c>
      <c r="AD62" s="20">
        <v>0.0</v>
      </c>
      <c r="AE62" s="20">
        <v>0.0</v>
      </c>
      <c r="AF62" s="20">
        <v>0.0</v>
      </c>
      <c r="AG62" s="20">
        <v>0.0</v>
      </c>
      <c r="AH62" s="19">
        <f t="shared" si="11"/>
        <v>0</v>
      </c>
    </row>
    <row r="63">
      <c r="A63" s="16" t="s">
        <v>61</v>
      </c>
      <c r="B63" s="27">
        <f t="shared" si="7"/>
        <v>0</v>
      </c>
      <c r="C63" s="20">
        <v>0.0</v>
      </c>
      <c r="D63" s="20">
        <v>0.0</v>
      </c>
      <c r="E63" s="20">
        <v>0.0</v>
      </c>
      <c r="F63" s="20">
        <v>0.0</v>
      </c>
      <c r="G63" s="20">
        <v>0.0</v>
      </c>
      <c r="H63" s="20">
        <v>0.0</v>
      </c>
      <c r="I63" s="20">
        <v>0.0</v>
      </c>
      <c r="J63" s="20">
        <v>0.0</v>
      </c>
      <c r="K63" s="20">
        <v>0.0</v>
      </c>
      <c r="L63" s="20">
        <v>0.0</v>
      </c>
      <c r="M63" s="20">
        <v>0.0</v>
      </c>
      <c r="N63" s="20">
        <v>0.0</v>
      </c>
      <c r="O63" s="20">
        <v>0.0</v>
      </c>
      <c r="P63" s="20">
        <v>0.0</v>
      </c>
      <c r="Q63" s="20">
        <v>0.0</v>
      </c>
      <c r="R63" s="20">
        <v>0.0</v>
      </c>
      <c r="S63" s="20">
        <v>0.0</v>
      </c>
      <c r="T63" s="20">
        <v>0.0</v>
      </c>
      <c r="U63" s="20">
        <v>0.0</v>
      </c>
      <c r="V63" s="20">
        <v>0.0</v>
      </c>
      <c r="W63" s="20">
        <v>0.0</v>
      </c>
      <c r="X63" s="20">
        <v>0.0</v>
      </c>
      <c r="Y63" s="20">
        <v>0.0</v>
      </c>
      <c r="Z63" s="20">
        <v>0.0</v>
      </c>
      <c r="AA63" s="20">
        <v>0.0</v>
      </c>
      <c r="AB63" s="20">
        <v>0.0</v>
      </c>
      <c r="AC63" s="20">
        <v>0.0</v>
      </c>
      <c r="AD63" s="20">
        <v>0.0</v>
      </c>
      <c r="AE63" s="20">
        <v>0.0</v>
      </c>
      <c r="AF63" s="20">
        <v>0.0</v>
      </c>
      <c r="AG63" s="20">
        <v>0.0</v>
      </c>
      <c r="AH63" s="19">
        <f t="shared" si="11"/>
        <v>0</v>
      </c>
    </row>
    <row r="64">
      <c r="A64" s="7"/>
      <c r="B64" s="8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>
      <c r="A65" s="35" t="s">
        <v>62</v>
      </c>
      <c r="B65" s="36">
        <f t="shared" ref="B65:B76" si="14">AH65/$AH$10</f>
        <v>0.01006872899</v>
      </c>
      <c r="C65" s="37">
        <f t="shared" ref="C65:AB65" si="12">sum(C66:C75)</f>
        <v>0</v>
      </c>
      <c r="D65" s="37">
        <f t="shared" si="12"/>
        <v>0</v>
      </c>
      <c r="E65" s="37">
        <f t="shared" si="12"/>
        <v>58245</v>
      </c>
      <c r="F65" s="37">
        <f t="shared" si="12"/>
        <v>0</v>
      </c>
      <c r="G65" s="37">
        <f t="shared" si="12"/>
        <v>111792</v>
      </c>
      <c r="H65" s="37">
        <f t="shared" si="12"/>
        <v>0</v>
      </c>
      <c r="I65" s="37">
        <f t="shared" si="12"/>
        <v>0</v>
      </c>
      <c r="J65" s="37">
        <f t="shared" si="12"/>
        <v>0</v>
      </c>
      <c r="K65" s="37">
        <f t="shared" si="12"/>
        <v>0</v>
      </c>
      <c r="L65" s="37">
        <f t="shared" si="12"/>
        <v>0</v>
      </c>
      <c r="M65" s="37">
        <f t="shared" si="12"/>
        <v>0</v>
      </c>
      <c r="N65" s="37">
        <f t="shared" si="12"/>
        <v>0</v>
      </c>
      <c r="O65" s="37">
        <f t="shared" si="12"/>
        <v>0</v>
      </c>
      <c r="P65" s="37">
        <f t="shared" si="12"/>
        <v>0</v>
      </c>
      <c r="Q65" s="37">
        <f t="shared" si="12"/>
        <v>0</v>
      </c>
      <c r="R65" s="37">
        <f t="shared" si="12"/>
        <v>0</v>
      </c>
      <c r="S65" s="37">
        <f t="shared" si="12"/>
        <v>0</v>
      </c>
      <c r="T65" s="37">
        <f t="shared" si="12"/>
        <v>0</v>
      </c>
      <c r="U65" s="37">
        <f t="shared" si="12"/>
        <v>0</v>
      </c>
      <c r="V65" s="37">
        <f t="shared" si="12"/>
        <v>0</v>
      </c>
      <c r="W65" s="37">
        <f t="shared" si="12"/>
        <v>0</v>
      </c>
      <c r="X65" s="37">
        <f t="shared" si="12"/>
        <v>0</v>
      </c>
      <c r="Y65" s="37">
        <f t="shared" si="12"/>
        <v>0</v>
      </c>
      <c r="Z65" s="37">
        <f t="shared" si="12"/>
        <v>0</v>
      </c>
      <c r="AA65" s="37">
        <f t="shared" si="12"/>
        <v>0</v>
      </c>
      <c r="AB65" s="37">
        <f t="shared" si="12"/>
        <v>0</v>
      </c>
      <c r="AC65" s="37">
        <f>SUM(AC66:AC76)</f>
        <v>0</v>
      </c>
      <c r="AD65" s="37">
        <f t="shared" ref="AD65:AG65" si="13">sum(AD66:AD75)</f>
        <v>0</v>
      </c>
      <c r="AE65" s="37">
        <f t="shared" si="13"/>
        <v>0</v>
      </c>
      <c r="AF65" s="37">
        <f t="shared" si="13"/>
        <v>0</v>
      </c>
      <c r="AG65" s="37">
        <f t="shared" si="13"/>
        <v>0</v>
      </c>
      <c r="AH65" s="38">
        <f>SUM(AH66:AH76)</f>
        <v>170037</v>
      </c>
    </row>
    <row r="66">
      <c r="A66" s="16" t="s">
        <v>63</v>
      </c>
      <c r="B66" s="27">
        <f t="shared" si="14"/>
        <v>0.006619755415</v>
      </c>
      <c r="C66" s="20">
        <v>0.0</v>
      </c>
      <c r="D66" s="20">
        <v>0.0</v>
      </c>
      <c r="E66" s="20">
        <v>0.0</v>
      </c>
      <c r="F66" s="20">
        <v>0.0</v>
      </c>
      <c r="G66" s="17">
        <v>111792.0</v>
      </c>
      <c r="H66" s="20">
        <v>0.0</v>
      </c>
      <c r="I66" s="20">
        <v>0.0</v>
      </c>
      <c r="J66" s="20">
        <v>0.0</v>
      </c>
      <c r="K66" s="20">
        <v>0.0</v>
      </c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0">
        <v>0.0</v>
      </c>
      <c r="Y66" s="20">
        <v>0.0</v>
      </c>
      <c r="Z66" s="20">
        <v>0.0</v>
      </c>
      <c r="AA66" s="20">
        <v>0.0</v>
      </c>
      <c r="AB66" s="20">
        <v>0.0</v>
      </c>
      <c r="AC66" s="20">
        <v>0.0</v>
      </c>
      <c r="AD66" s="20">
        <v>0.0</v>
      </c>
      <c r="AE66" s="20">
        <v>0.0</v>
      </c>
      <c r="AF66" s="20">
        <v>0.0</v>
      </c>
      <c r="AG66" s="20">
        <v>0.0</v>
      </c>
      <c r="AH66" s="19">
        <f t="shared" ref="AH66:AH76" si="15">SUM(C66:AG66)</f>
        <v>111792</v>
      </c>
    </row>
    <row r="67">
      <c r="A67" s="16" t="s">
        <v>64</v>
      </c>
      <c r="B67" s="27">
        <f t="shared" si="14"/>
        <v>0.003448973577</v>
      </c>
      <c r="C67" s="20">
        <v>0.0</v>
      </c>
      <c r="D67" s="20">
        <v>0.0</v>
      </c>
      <c r="E67" s="17">
        <v>58245.0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0.0</v>
      </c>
      <c r="M67" s="20">
        <v>0.0</v>
      </c>
      <c r="N67" s="20">
        <v>0.0</v>
      </c>
      <c r="O67" s="20">
        <v>0.0</v>
      </c>
      <c r="P67" s="20">
        <v>0.0</v>
      </c>
      <c r="Q67" s="20">
        <v>0.0</v>
      </c>
      <c r="R67" s="20">
        <v>0.0</v>
      </c>
      <c r="S67" s="20">
        <v>0.0</v>
      </c>
      <c r="T67" s="20">
        <v>0.0</v>
      </c>
      <c r="U67" s="20">
        <v>0.0</v>
      </c>
      <c r="V67" s="20">
        <v>0.0</v>
      </c>
      <c r="W67" s="20">
        <v>0.0</v>
      </c>
      <c r="X67" s="20">
        <v>0.0</v>
      </c>
      <c r="Y67" s="20">
        <v>0.0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20">
        <v>0.0</v>
      </c>
      <c r="AF67" s="20">
        <v>0.0</v>
      </c>
      <c r="AG67" s="20">
        <v>0.0</v>
      </c>
      <c r="AH67" s="19">
        <f t="shared" si="15"/>
        <v>58245</v>
      </c>
    </row>
    <row r="68">
      <c r="A68" s="16" t="s">
        <v>65</v>
      </c>
      <c r="B68" s="27">
        <f t="shared" si="14"/>
        <v>0</v>
      </c>
      <c r="C68" s="20">
        <v>0.0</v>
      </c>
      <c r="D68" s="20">
        <v>0.0</v>
      </c>
      <c r="E68" s="20">
        <v>0.0</v>
      </c>
      <c r="F68" s="20">
        <v>0.0</v>
      </c>
      <c r="G68" s="20">
        <v>0.0</v>
      </c>
      <c r="H68" s="20">
        <v>0.0</v>
      </c>
      <c r="I68" s="20">
        <v>0.0</v>
      </c>
      <c r="J68" s="20">
        <v>0.0</v>
      </c>
      <c r="K68" s="20">
        <v>0.0</v>
      </c>
      <c r="L68" s="20">
        <v>0.0</v>
      </c>
      <c r="M68" s="20">
        <v>0.0</v>
      </c>
      <c r="N68" s="20">
        <v>0.0</v>
      </c>
      <c r="O68" s="20">
        <v>0.0</v>
      </c>
      <c r="P68" s="20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0.0</v>
      </c>
      <c r="V68" s="20">
        <v>0.0</v>
      </c>
      <c r="W68" s="20">
        <v>0.0</v>
      </c>
      <c r="X68" s="20">
        <v>0.0</v>
      </c>
      <c r="Y68" s="20">
        <v>0.0</v>
      </c>
      <c r="Z68" s="20">
        <v>0.0</v>
      </c>
      <c r="AA68" s="20">
        <v>0.0</v>
      </c>
      <c r="AB68" s="20">
        <v>0.0</v>
      </c>
      <c r="AC68" s="20">
        <v>0.0</v>
      </c>
      <c r="AD68" s="20">
        <v>0.0</v>
      </c>
      <c r="AE68" s="20">
        <v>0.0</v>
      </c>
      <c r="AF68" s="20">
        <v>0.0</v>
      </c>
      <c r="AG68" s="20">
        <v>0.0</v>
      </c>
      <c r="AH68" s="19">
        <f t="shared" si="15"/>
        <v>0</v>
      </c>
    </row>
    <row r="69">
      <c r="A69" s="16" t="s">
        <v>66</v>
      </c>
      <c r="B69" s="27">
        <f t="shared" si="14"/>
        <v>0</v>
      </c>
      <c r="C69" s="20">
        <v>0.0</v>
      </c>
      <c r="D69" s="20">
        <v>0.0</v>
      </c>
      <c r="E69" s="20">
        <v>0.0</v>
      </c>
      <c r="F69" s="20">
        <v>0.0</v>
      </c>
      <c r="G69" s="20">
        <v>0.0</v>
      </c>
      <c r="H69" s="20">
        <v>0.0</v>
      </c>
      <c r="I69" s="20">
        <v>0.0</v>
      </c>
      <c r="J69" s="20">
        <v>0.0</v>
      </c>
      <c r="K69" s="20">
        <v>0.0</v>
      </c>
      <c r="L69" s="20">
        <v>0.0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20">
        <v>0.0</v>
      </c>
      <c r="W69" s="20">
        <v>0.0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20">
        <v>0.0</v>
      </c>
      <c r="AF69" s="20">
        <v>0.0</v>
      </c>
      <c r="AG69" s="20">
        <v>0.0</v>
      </c>
      <c r="AH69" s="19">
        <f t="shared" si="15"/>
        <v>0</v>
      </c>
    </row>
    <row r="70">
      <c r="A70" s="16" t="s">
        <v>67</v>
      </c>
      <c r="B70" s="27">
        <f t="shared" si="14"/>
        <v>0</v>
      </c>
      <c r="C70" s="20">
        <v>0.0</v>
      </c>
      <c r="D70" s="20">
        <v>0.0</v>
      </c>
      <c r="E70" s="20">
        <v>0.0</v>
      </c>
      <c r="F70" s="20">
        <v>0.0</v>
      </c>
      <c r="G70" s="20">
        <v>0.0</v>
      </c>
      <c r="H70" s="20">
        <v>0.0</v>
      </c>
      <c r="I70" s="20">
        <v>0.0</v>
      </c>
      <c r="J70" s="20">
        <v>0.0</v>
      </c>
      <c r="K70" s="20">
        <v>0.0</v>
      </c>
      <c r="L70" s="20">
        <v>0.0</v>
      </c>
      <c r="M70" s="20">
        <v>0.0</v>
      </c>
      <c r="N70" s="20">
        <v>0.0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20">
        <v>0.0</v>
      </c>
      <c r="AC70" s="20">
        <v>0.0</v>
      </c>
      <c r="AD70" s="20">
        <v>0.0</v>
      </c>
      <c r="AE70" s="20">
        <v>0.0</v>
      </c>
      <c r="AF70" s="20">
        <v>0.0</v>
      </c>
      <c r="AG70" s="20">
        <v>0.0</v>
      </c>
      <c r="AH70" s="19">
        <f t="shared" si="15"/>
        <v>0</v>
      </c>
    </row>
    <row r="71">
      <c r="A71" s="16" t="s">
        <v>68</v>
      </c>
      <c r="B71" s="27">
        <f t="shared" si="14"/>
        <v>0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0">
        <v>0.0</v>
      </c>
      <c r="J71" s="20">
        <v>0.0</v>
      </c>
      <c r="K71" s="20">
        <v>0.0</v>
      </c>
      <c r="L71" s="20">
        <v>0.0</v>
      </c>
      <c r="M71" s="20">
        <v>0.0</v>
      </c>
      <c r="N71" s="20">
        <v>0.0</v>
      </c>
      <c r="O71" s="20">
        <v>0.0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20">
        <v>0.0</v>
      </c>
      <c r="AF71" s="20">
        <v>0.0</v>
      </c>
      <c r="AG71" s="20">
        <v>0.0</v>
      </c>
      <c r="AH71" s="19">
        <f t="shared" si="15"/>
        <v>0</v>
      </c>
    </row>
    <row r="72">
      <c r="A72" s="16" t="s">
        <v>69</v>
      </c>
      <c r="B72" s="27">
        <f t="shared" si="14"/>
        <v>0</v>
      </c>
      <c r="C72" s="20">
        <v>0.0</v>
      </c>
      <c r="D72" s="20">
        <v>0.0</v>
      </c>
      <c r="E72" s="20">
        <v>0.0</v>
      </c>
      <c r="F72" s="20">
        <v>0.0</v>
      </c>
      <c r="G72" s="20">
        <v>0.0</v>
      </c>
      <c r="H72" s="20">
        <v>0.0</v>
      </c>
      <c r="I72" s="20">
        <v>0.0</v>
      </c>
      <c r="J72" s="20">
        <v>0.0</v>
      </c>
      <c r="K72" s="20">
        <v>0.0</v>
      </c>
      <c r="L72" s="20">
        <v>0.0</v>
      </c>
      <c r="M72" s="20">
        <v>0.0</v>
      </c>
      <c r="N72" s="20">
        <v>0.0</v>
      </c>
      <c r="O72" s="20">
        <v>0.0</v>
      </c>
      <c r="P72" s="20">
        <v>0.0</v>
      </c>
      <c r="Q72" s="20">
        <v>0.0</v>
      </c>
      <c r="R72" s="20">
        <v>0.0</v>
      </c>
      <c r="S72" s="20">
        <v>0.0</v>
      </c>
      <c r="T72" s="20">
        <v>0.0</v>
      </c>
      <c r="U72" s="20">
        <v>0.0</v>
      </c>
      <c r="V72" s="20">
        <v>0.0</v>
      </c>
      <c r="W72" s="20">
        <v>0.0</v>
      </c>
      <c r="X72" s="20">
        <v>0.0</v>
      </c>
      <c r="Y72" s="20">
        <v>0.0</v>
      </c>
      <c r="Z72" s="20">
        <v>0.0</v>
      </c>
      <c r="AA72" s="20">
        <v>0.0</v>
      </c>
      <c r="AB72" s="20">
        <v>0.0</v>
      </c>
      <c r="AC72" s="20">
        <v>0.0</v>
      </c>
      <c r="AD72" s="20">
        <v>0.0</v>
      </c>
      <c r="AE72" s="20">
        <v>0.0</v>
      </c>
      <c r="AF72" s="20">
        <v>0.0</v>
      </c>
      <c r="AG72" s="20">
        <v>0.0</v>
      </c>
      <c r="AH72" s="19">
        <f t="shared" si="15"/>
        <v>0</v>
      </c>
    </row>
    <row r="73">
      <c r="A73" s="16" t="s">
        <v>70</v>
      </c>
      <c r="B73" s="27">
        <f t="shared" si="14"/>
        <v>0</v>
      </c>
      <c r="C73" s="20">
        <v>0.0</v>
      </c>
      <c r="D73" s="20">
        <v>0.0</v>
      </c>
      <c r="E73" s="20">
        <v>0.0</v>
      </c>
      <c r="F73" s="20">
        <v>0.0</v>
      </c>
      <c r="G73" s="20">
        <v>0.0</v>
      </c>
      <c r="H73" s="20">
        <v>0.0</v>
      </c>
      <c r="I73" s="20">
        <v>0.0</v>
      </c>
      <c r="J73" s="20">
        <v>0.0</v>
      </c>
      <c r="K73" s="20">
        <v>0.0</v>
      </c>
      <c r="L73" s="20">
        <v>0.0</v>
      </c>
      <c r="M73" s="20">
        <v>0.0</v>
      </c>
      <c r="N73" s="20">
        <v>0.0</v>
      </c>
      <c r="O73" s="20">
        <v>0.0</v>
      </c>
      <c r="P73" s="20">
        <v>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  <c r="V73" s="20">
        <v>0.0</v>
      </c>
      <c r="W73" s="20">
        <v>0.0</v>
      </c>
      <c r="X73" s="20">
        <v>0.0</v>
      </c>
      <c r="Y73" s="20">
        <v>0.0</v>
      </c>
      <c r="Z73" s="20">
        <v>0.0</v>
      </c>
      <c r="AA73" s="20">
        <v>0.0</v>
      </c>
      <c r="AB73" s="20">
        <v>0.0</v>
      </c>
      <c r="AC73" s="20">
        <v>0.0</v>
      </c>
      <c r="AD73" s="20">
        <v>0.0</v>
      </c>
      <c r="AE73" s="20">
        <v>0.0</v>
      </c>
      <c r="AF73" s="20">
        <v>0.0</v>
      </c>
      <c r="AG73" s="20">
        <v>0.0</v>
      </c>
      <c r="AH73" s="19">
        <f t="shared" si="15"/>
        <v>0</v>
      </c>
    </row>
    <row r="74">
      <c r="A74" s="16" t="s">
        <v>71</v>
      </c>
      <c r="B74" s="27">
        <f t="shared" si="14"/>
        <v>0</v>
      </c>
      <c r="C74" s="20">
        <v>0.0</v>
      </c>
      <c r="D74" s="20">
        <v>0.0</v>
      </c>
      <c r="E74" s="20">
        <v>0.0</v>
      </c>
      <c r="F74" s="20">
        <v>0.0</v>
      </c>
      <c r="G74" s="20">
        <v>0.0</v>
      </c>
      <c r="H74" s="20">
        <v>0.0</v>
      </c>
      <c r="I74" s="20">
        <v>0.0</v>
      </c>
      <c r="J74" s="20">
        <v>0.0</v>
      </c>
      <c r="K74" s="20">
        <v>0.0</v>
      </c>
      <c r="L74" s="20">
        <v>0.0</v>
      </c>
      <c r="M74" s="20">
        <v>0.0</v>
      </c>
      <c r="N74" s="20">
        <v>0.0</v>
      </c>
      <c r="O74" s="20">
        <v>0.0</v>
      </c>
      <c r="P74" s="20">
        <v>0.0</v>
      </c>
      <c r="Q74" s="20">
        <v>0.0</v>
      </c>
      <c r="R74" s="20">
        <v>0.0</v>
      </c>
      <c r="S74" s="20">
        <v>0.0</v>
      </c>
      <c r="T74" s="20">
        <v>0.0</v>
      </c>
      <c r="U74" s="20">
        <v>0.0</v>
      </c>
      <c r="V74" s="20">
        <v>0.0</v>
      </c>
      <c r="W74" s="20">
        <v>0.0</v>
      </c>
      <c r="X74" s="20">
        <v>0.0</v>
      </c>
      <c r="Y74" s="20">
        <v>0.0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20">
        <v>0.0</v>
      </c>
      <c r="AF74" s="20">
        <v>0.0</v>
      </c>
      <c r="AG74" s="20">
        <v>0.0</v>
      </c>
      <c r="AH74" s="19">
        <f t="shared" si="15"/>
        <v>0</v>
      </c>
    </row>
    <row r="75">
      <c r="A75" s="7" t="s">
        <v>72</v>
      </c>
      <c r="B75" s="27">
        <f t="shared" si="14"/>
        <v>0</v>
      </c>
      <c r="C75" s="20">
        <v>0.0</v>
      </c>
      <c r="D75" s="20">
        <v>0.0</v>
      </c>
      <c r="E75" s="20">
        <v>0.0</v>
      </c>
      <c r="F75" s="20">
        <v>0.0</v>
      </c>
      <c r="G75" s="20">
        <v>0.0</v>
      </c>
      <c r="H75" s="20">
        <v>0.0</v>
      </c>
      <c r="I75" s="20">
        <v>0.0</v>
      </c>
      <c r="J75" s="20">
        <v>0.0</v>
      </c>
      <c r="K75" s="20">
        <v>0.0</v>
      </c>
      <c r="L75" s="20">
        <v>0.0</v>
      </c>
      <c r="M75" s="20">
        <v>0.0</v>
      </c>
      <c r="N75" s="20">
        <v>0.0</v>
      </c>
      <c r="O75" s="20">
        <v>0.0</v>
      </c>
      <c r="P75" s="20">
        <v>0.0</v>
      </c>
      <c r="Q75" s="20">
        <v>0.0</v>
      </c>
      <c r="R75" s="20">
        <v>0.0</v>
      </c>
      <c r="S75" s="20">
        <v>0.0</v>
      </c>
      <c r="T75" s="20">
        <v>0.0</v>
      </c>
      <c r="U75" s="20">
        <v>0.0</v>
      </c>
      <c r="V75" s="20">
        <v>0.0</v>
      </c>
      <c r="W75" s="20">
        <v>0.0</v>
      </c>
      <c r="X75" s="20">
        <v>0.0</v>
      </c>
      <c r="Y75" s="20">
        <v>0.0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20">
        <v>0.0</v>
      </c>
      <c r="AF75" s="20">
        <v>0.0</v>
      </c>
      <c r="AG75" s="20">
        <v>0.0</v>
      </c>
      <c r="AH75" s="19">
        <f t="shared" si="15"/>
        <v>0</v>
      </c>
    </row>
    <row r="76">
      <c r="A76" s="39" t="s">
        <v>73</v>
      </c>
      <c r="B76" s="27">
        <f t="shared" si="14"/>
        <v>0</v>
      </c>
      <c r="C76" s="20">
        <v>0.0</v>
      </c>
      <c r="D76" s="20">
        <v>0.0</v>
      </c>
      <c r="E76" s="20">
        <v>0.0</v>
      </c>
      <c r="F76" s="20">
        <v>0.0</v>
      </c>
      <c r="G76" s="20">
        <v>0.0</v>
      </c>
      <c r="H76" s="20">
        <v>0.0</v>
      </c>
      <c r="I76" s="20">
        <v>0.0</v>
      </c>
      <c r="J76" s="20">
        <v>0.0</v>
      </c>
      <c r="K76" s="20">
        <v>0.0</v>
      </c>
      <c r="L76" s="20">
        <v>0.0</v>
      </c>
      <c r="M76" s="20">
        <v>0.0</v>
      </c>
      <c r="N76" s="20">
        <v>0.0</v>
      </c>
      <c r="O76" s="20">
        <v>0.0</v>
      </c>
      <c r="P76" s="20">
        <v>0.0</v>
      </c>
      <c r="Q76" s="20">
        <v>0.0</v>
      </c>
      <c r="R76" s="20">
        <v>0.0</v>
      </c>
      <c r="S76" s="20">
        <v>0.0</v>
      </c>
      <c r="T76" s="20">
        <v>0.0</v>
      </c>
      <c r="U76" s="20">
        <v>0.0</v>
      </c>
      <c r="V76" s="20">
        <v>0.0</v>
      </c>
      <c r="W76" s="20">
        <v>0.0</v>
      </c>
      <c r="X76" s="20">
        <v>0.0</v>
      </c>
      <c r="Y76" s="20">
        <v>0.0</v>
      </c>
      <c r="Z76" s="20">
        <v>0.0</v>
      </c>
      <c r="AA76" s="20">
        <v>0.0</v>
      </c>
      <c r="AB76" s="20">
        <v>0.0</v>
      </c>
      <c r="AC76" s="20">
        <v>0.0</v>
      </c>
      <c r="AD76" s="20">
        <v>0.0</v>
      </c>
      <c r="AE76" s="20">
        <v>0.0</v>
      </c>
      <c r="AF76" s="20">
        <v>0.0</v>
      </c>
      <c r="AG76" s="20">
        <v>0.0</v>
      </c>
      <c r="AH76" s="19">
        <f t="shared" si="15"/>
        <v>0</v>
      </c>
    </row>
    <row r="77">
      <c r="A77" s="7"/>
      <c r="B77" s="8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>
      <c r="A78" s="40" t="s">
        <v>74</v>
      </c>
      <c r="B78" s="32">
        <f t="shared" ref="B78:B82" si="17">AH78/$AH$10</f>
        <v>0.2014083324</v>
      </c>
      <c r="C78" s="41">
        <f t="shared" ref="C78:AG78" si="16">SUM(C79:C82)</f>
        <v>0</v>
      </c>
      <c r="D78" s="41">
        <f t="shared" si="16"/>
        <v>0</v>
      </c>
      <c r="E78" s="41">
        <f t="shared" si="16"/>
        <v>0</v>
      </c>
      <c r="F78" s="41">
        <f t="shared" si="16"/>
        <v>790523</v>
      </c>
      <c r="G78" s="41">
        <f t="shared" si="16"/>
        <v>0</v>
      </c>
      <c r="H78" s="41">
        <f t="shared" si="16"/>
        <v>52000</v>
      </c>
      <c r="I78" s="41">
        <f t="shared" si="16"/>
        <v>2358787</v>
      </c>
      <c r="J78" s="41">
        <f t="shared" si="16"/>
        <v>0</v>
      </c>
      <c r="K78" s="41">
        <f t="shared" si="16"/>
        <v>200000</v>
      </c>
      <c r="L78" s="41">
        <f t="shared" si="16"/>
        <v>0</v>
      </c>
      <c r="M78" s="41">
        <f t="shared" si="16"/>
        <v>0</v>
      </c>
      <c r="N78" s="41">
        <f t="shared" si="16"/>
        <v>0</v>
      </c>
      <c r="O78" s="41">
        <f t="shared" si="16"/>
        <v>0</v>
      </c>
      <c r="P78" s="41">
        <f t="shared" si="16"/>
        <v>0</v>
      </c>
      <c r="Q78" s="41">
        <f t="shared" si="16"/>
        <v>0</v>
      </c>
      <c r="R78" s="41">
        <f t="shared" si="16"/>
        <v>0</v>
      </c>
      <c r="S78" s="41">
        <f t="shared" si="16"/>
        <v>0</v>
      </c>
      <c r="T78" s="41">
        <f t="shared" si="16"/>
        <v>0</v>
      </c>
      <c r="U78" s="41">
        <f t="shared" si="16"/>
        <v>0</v>
      </c>
      <c r="V78" s="41">
        <f t="shared" si="16"/>
        <v>0</v>
      </c>
      <c r="W78" s="41">
        <f t="shared" si="16"/>
        <v>0</v>
      </c>
      <c r="X78" s="41">
        <f t="shared" si="16"/>
        <v>0</v>
      </c>
      <c r="Y78" s="41">
        <f t="shared" si="16"/>
        <v>0</v>
      </c>
      <c r="Z78" s="41">
        <f t="shared" si="16"/>
        <v>0</v>
      </c>
      <c r="AA78" s="41">
        <f t="shared" si="16"/>
        <v>0</v>
      </c>
      <c r="AB78" s="41">
        <f t="shared" si="16"/>
        <v>0</v>
      </c>
      <c r="AC78" s="41">
        <f t="shared" si="16"/>
        <v>0</v>
      </c>
      <c r="AD78" s="41">
        <f t="shared" si="16"/>
        <v>0</v>
      </c>
      <c r="AE78" s="41">
        <f t="shared" si="16"/>
        <v>0</v>
      </c>
      <c r="AF78" s="41">
        <f t="shared" si="16"/>
        <v>0</v>
      </c>
      <c r="AG78" s="41">
        <f t="shared" si="16"/>
        <v>0</v>
      </c>
      <c r="AH78" s="34">
        <f>sum(AH79:AH82)</f>
        <v>3401310</v>
      </c>
    </row>
    <row r="79">
      <c r="A79" s="16" t="s">
        <v>75</v>
      </c>
      <c r="B79" s="27">
        <f t="shared" si="17"/>
        <v>0</v>
      </c>
      <c r="C79" s="20">
        <v>0.0</v>
      </c>
      <c r="D79" s="20">
        <v>0.0</v>
      </c>
      <c r="E79" s="20">
        <v>0.0</v>
      </c>
      <c r="F79" s="20">
        <v>0.0</v>
      </c>
      <c r="G79" s="20">
        <v>0.0</v>
      </c>
      <c r="H79" s="20">
        <v>0.0</v>
      </c>
      <c r="I79" s="20">
        <v>0.0</v>
      </c>
      <c r="J79" s="20">
        <v>0.0</v>
      </c>
      <c r="K79" s="20">
        <v>0.0</v>
      </c>
      <c r="L79" s="20">
        <v>0.0</v>
      </c>
      <c r="M79" s="20">
        <v>0.0</v>
      </c>
      <c r="N79" s="20">
        <v>0.0</v>
      </c>
      <c r="O79" s="20">
        <v>0.0</v>
      </c>
      <c r="P79" s="20">
        <v>0.0</v>
      </c>
      <c r="Q79" s="20">
        <v>0.0</v>
      </c>
      <c r="R79" s="20">
        <v>0.0</v>
      </c>
      <c r="S79" s="20">
        <v>0.0</v>
      </c>
      <c r="T79" s="20">
        <v>0.0</v>
      </c>
      <c r="U79" s="20">
        <v>0.0</v>
      </c>
      <c r="V79" s="20">
        <v>0.0</v>
      </c>
      <c r="W79" s="20">
        <v>0.0</v>
      </c>
      <c r="X79" s="20">
        <v>0.0</v>
      </c>
      <c r="Y79" s="20">
        <v>0.0</v>
      </c>
      <c r="Z79" s="20">
        <v>0.0</v>
      </c>
      <c r="AA79" s="20">
        <v>0.0</v>
      </c>
      <c r="AB79" s="20">
        <v>0.0</v>
      </c>
      <c r="AC79" s="20">
        <v>0.0</v>
      </c>
      <c r="AD79" s="20">
        <v>0.0</v>
      </c>
      <c r="AE79" s="20">
        <v>0.0</v>
      </c>
      <c r="AF79" s="20">
        <v>0.0</v>
      </c>
      <c r="AG79" s="20">
        <v>0.0</v>
      </c>
      <c r="AH79" s="19">
        <f t="shared" ref="AH79:AH82" si="18">SUM(C79:AG79)</f>
        <v>0</v>
      </c>
    </row>
    <row r="80">
      <c r="A80" s="16" t="s">
        <v>76</v>
      </c>
      <c r="B80" s="27">
        <f t="shared" si="17"/>
        <v>0</v>
      </c>
      <c r="C80" s="20">
        <v>0.0</v>
      </c>
      <c r="D80" s="20">
        <v>0.0</v>
      </c>
      <c r="E80" s="20">
        <v>0.0</v>
      </c>
      <c r="F80" s="20">
        <v>0.0</v>
      </c>
      <c r="G80" s="20">
        <v>0.0</v>
      </c>
      <c r="H80" s="20">
        <v>0.0</v>
      </c>
      <c r="I80" s="20">
        <v>0.0</v>
      </c>
      <c r="J80" s="20">
        <v>0.0</v>
      </c>
      <c r="K80" s="20">
        <v>0.0</v>
      </c>
      <c r="L80" s="20">
        <v>0.0</v>
      </c>
      <c r="M80" s="20">
        <v>0.0</v>
      </c>
      <c r="N80" s="20">
        <v>0.0</v>
      </c>
      <c r="O80" s="20">
        <v>0.0</v>
      </c>
      <c r="P80" s="20">
        <v>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  <c r="V80" s="20">
        <v>0.0</v>
      </c>
      <c r="W80" s="20">
        <v>0.0</v>
      </c>
      <c r="X80" s="20">
        <v>0.0</v>
      </c>
      <c r="Y80" s="20">
        <v>0.0</v>
      </c>
      <c r="Z80" s="20">
        <v>0.0</v>
      </c>
      <c r="AA80" s="20">
        <v>0.0</v>
      </c>
      <c r="AB80" s="20">
        <v>0.0</v>
      </c>
      <c r="AC80" s="20">
        <v>0.0</v>
      </c>
      <c r="AD80" s="20">
        <v>0.0</v>
      </c>
      <c r="AE80" s="20">
        <v>0.0</v>
      </c>
      <c r="AF80" s="20">
        <v>0.0</v>
      </c>
      <c r="AG80" s="20">
        <v>0.0</v>
      </c>
      <c r="AH80" s="19">
        <f t="shared" si="18"/>
        <v>0</v>
      </c>
    </row>
    <row r="81">
      <c r="A81" s="16" t="s">
        <v>77</v>
      </c>
      <c r="B81" s="27">
        <f t="shared" si="17"/>
        <v>0</v>
      </c>
      <c r="C81" s="20">
        <v>0.0</v>
      </c>
      <c r="D81" s="20">
        <v>0.0</v>
      </c>
      <c r="E81" s="20">
        <v>0.0</v>
      </c>
      <c r="F81" s="20">
        <v>0.0</v>
      </c>
      <c r="G81" s="20">
        <v>0.0</v>
      </c>
      <c r="H81" s="20">
        <v>0.0</v>
      </c>
      <c r="I81" s="20">
        <v>0.0</v>
      </c>
      <c r="J81" s="20">
        <v>0.0</v>
      </c>
      <c r="K81" s="20">
        <v>0.0</v>
      </c>
      <c r="L81" s="20">
        <v>0.0</v>
      </c>
      <c r="M81" s="20">
        <v>0.0</v>
      </c>
      <c r="N81" s="20">
        <v>0.0</v>
      </c>
      <c r="O81" s="20">
        <v>0.0</v>
      </c>
      <c r="P81" s="20">
        <v>0.0</v>
      </c>
      <c r="Q81" s="20">
        <v>0.0</v>
      </c>
      <c r="R81" s="20">
        <v>0.0</v>
      </c>
      <c r="S81" s="20">
        <v>0.0</v>
      </c>
      <c r="T81" s="20">
        <v>0.0</v>
      </c>
      <c r="U81" s="20">
        <v>0.0</v>
      </c>
      <c r="V81" s="20">
        <v>0.0</v>
      </c>
      <c r="W81" s="20">
        <v>0.0</v>
      </c>
      <c r="X81" s="20">
        <v>0.0</v>
      </c>
      <c r="Y81" s="20">
        <v>0.0</v>
      </c>
      <c r="Z81" s="20">
        <v>0.0</v>
      </c>
      <c r="AA81" s="20">
        <v>0.0</v>
      </c>
      <c r="AB81" s="20">
        <v>0.0</v>
      </c>
      <c r="AC81" s="20">
        <v>0.0</v>
      </c>
      <c r="AD81" s="20">
        <v>0.0</v>
      </c>
      <c r="AE81" s="20">
        <v>0.0</v>
      </c>
      <c r="AF81" s="20">
        <v>0.0</v>
      </c>
      <c r="AG81" s="20">
        <v>0.0</v>
      </c>
      <c r="AH81" s="19">
        <f t="shared" si="18"/>
        <v>0</v>
      </c>
    </row>
    <row r="82">
      <c r="A82" s="39" t="s">
        <v>78</v>
      </c>
      <c r="B82" s="27">
        <f t="shared" si="17"/>
        <v>0.2014083324</v>
      </c>
      <c r="C82" s="20">
        <v>0.0</v>
      </c>
      <c r="D82" s="20">
        <v>0.0</v>
      </c>
      <c r="E82" s="20">
        <v>0.0</v>
      </c>
      <c r="F82" s="17">
        <f>455000+335523</f>
        <v>790523</v>
      </c>
      <c r="G82" s="20">
        <v>0.0</v>
      </c>
      <c r="H82" s="17">
        <v>52000.0</v>
      </c>
      <c r="I82" s="17">
        <v>2358787.0</v>
      </c>
      <c r="J82" s="20">
        <v>0.0</v>
      </c>
      <c r="K82" s="17">
        <v>200000.0</v>
      </c>
      <c r="L82" s="20">
        <v>0.0</v>
      </c>
      <c r="M82" s="20">
        <v>0.0</v>
      </c>
      <c r="N82" s="20">
        <v>0.0</v>
      </c>
      <c r="O82" s="20">
        <v>0.0</v>
      </c>
      <c r="P82" s="20">
        <v>0.0</v>
      </c>
      <c r="Q82" s="20">
        <v>0.0</v>
      </c>
      <c r="R82" s="20">
        <v>0.0</v>
      </c>
      <c r="S82" s="20">
        <v>0.0</v>
      </c>
      <c r="T82" s="20">
        <v>0.0</v>
      </c>
      <c r="U82" s="20">
        <v>0.0</v>
      </c>
      <c r="V82" s="20">
        <v>0.0</v>
      </c>
      <c r="W82" s="20">
        <v>0.0</v>
      </c>
      <c r="X82" s="20">
        <v>0.0</v>
      </c>
      <c r="Y82" s="20">
        <v>0.0</v>
      </c>
      <c r="Z82" s="20">
        <v>0.0</v>
      </c>
      <c r="AA82" s="20">
        <v>0.0</v>
      </c>
      <c r="AB82" s="20">
        <v>0.0</v>
      </c>
      <c r="AC82" s="20">
        <v>0.0</v>
      </c>
      <c r="AD82" s="20">
        <v>0.0</v>
      </c>
      <c r="AE82" s="20">
        <v>0.0</v>
      </c>
      <c r="AF82" s="20">
        <v>0.0</v>
      </c>
      <c r="AG82" s="20">
        <v>0.0</v>
      </c>
      <c r="AH82" s="19">
        <f t="shared" si="18"/>
        <v>3401310</v>
      </c>
    </row>
    <row r="83">
      <c r="A83" s="39"/>
      <c r="B83" s="27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>
      <c r="A84" s="42" t="s">
        <v>79</v>
      </c>
      <c r="B84" s="43">
        <f t="shared" ref="B84:B88" si="20">AH84/$AH$10</f>
        <v>0.08273249425</v>
      </c>
      <c r="C84" s="44">
        <f t="shared" ref="C84:AH84" si="19">sum(C85:C88)</f>
        <v>0</v>
      </c>
      <c r="D84" s="44">
        <f t="shared" si="19"/>
        <v>0</v>
      </c>
      <c r="E84" s="44">
        <f t="shared" si="19"/>
        <v>314949</v>
      </c>
      <c r="F84" s="44">
        <f t="shared" si="19"/>
        <v>0</v>
      </c>
      <c r="G84" s="44">
        <f t="shared" si="19"/>
        <v>0</v>
      </c>
      <c r="H84" s="44">
        <f t="shared" si="19"/>
        <v>0</v>
      </c>
      <c r="I84" s="44">
        <f t="shared" si="19"/>
        <v>593073</v>
      </c>
      <c r="J84" s="44">
        <f t="shared" si="19"/>
        <v>0</v>
      </c>
      <c r="K84" s="44">
        <f t="shared" si="19"/>
        <v>0</v>
      </c>
      <c r="L84" s="44">
        <f t="shared" si="19"/>
        <v>489134</v>
      </c>
      <c r="M84" s="44">
        <f t="shared" si="19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19"/>
        <v>0</v>
      </c>
      <c r="Y84" s="44">
        <f t="shared" si="19"/>
        <v>0</v>
      </c>
      <c r="Z84" s="44">
        <f t="shared" si="19"/>
        <v>0</v>
      </c>
      <c r="AA84" s="44">
        <f t="shared" si="19"/>
        <v>0</v>
      </c>
      <c r="AB84" s="44">
        <f t="shared" si="19"/>
        <v>0</v>
      </c>
      <c r="AC84" s="44">
        <f t="shared" si="19"/>
        <v>0</v>
      </c>
      <c r="AD84" s="44">
        <f t="shared" si="19"/>
        <v>0</v>
      </c>
      <c r="AE84" s="44">
        <f t="shared" si="19"/>
        <v>0</v>
      </c>
      <c r="AF84" s="44">
        <f t="shared" si="19"/>
        <v>0</v>
      </c>
      <c r="AG84" s="44">
        <f t="shared" si="19"/>
        <v>0</v>
      </c>
      <c r="AH84" s="45">
        <f t="shared" si="19"/>
        <v>1397156</v>
      </c>
    </row>
    <row r="85">
      <c r="A85" s="16" t="s">
        <v>80</v>
      </c>
      <c r="B85" s="27">
        <f t="shared" si="20"/>
        <v>0.03511877597</v>
      </c>
      <c r="C85" s="17">
        <v>0.0</v>
      </c>
      <c r="D85" s="17">
        <v>0.0</v>
      </c>
      <c r="E85" s="17">
        <v>0.0</v>
      </c>
      <c r="F85" s="17">
        <v>0.0</v>
      </c>
      <c r="G85" s="17">
        <v>0.0</v>
      </c>
      <c r="H85" s="17">
        <v>0.0</v>
      </c>
      <c r="I85" s="17">
        <v>593073.0</v>
      </c>
      <c r="J85" s="17">
        <v>0.0</v>
      </c>
      <c r="K85" s="17">
        <v>0.0</v>
      </c>
      <c r="L85" s="17">
        <v>0.0</v>
      </c>
      <c r="M85" s="17">
        <v>0.0</v>
      </c>
      <c r="N85" s="17">
        <v>0.0</v>
      </c>
      <c r="O85" s="17">
        <v>0.0</v>
      </c>
      <c r="P85" s="17">
        <v>0.0</v>
      </c>
      <c r="Q85" s="17">
        <v>0.0</v>
      </c>
      <c r="R85" s="17">
        <v>0.0</v>
      </c>
      <c r="S85" s="17">
        <v>0.0</v>
      </c>
      <c r="T85" s="17">
        <v>0.0</v>
      </c>
      <c r="U85" s="17">
        <v>0.0</v>
      </c>
      <c r="V85" s="17">
        <v>0.0</v>
      </c>
      <c r="W85" s="17">
        <v>0.0</v>
      </c>
      <c r="X85" s="17">
        <v>0.0</v>
      </c>
      <c r="Y85" s="17">
        <v>0.0</v>
      </c>
      <c r="Z85" s="17">
        <v>0.0</v>
      </c>
      <c r="AA85" s="17">
        <v>0.0</v>
      </c>
      <c r="AB85" s="17">
        <v>0.0</v>
      </c>
      <c r="AC85" s="17">
        <v>0.0</v>
      </c>
      <c r="AD85" s="17">
        <v>0.0</v>
      </c>
      <c r="AE85" s="17">
        <v>0.0</v>
      </c>
      <c r="AF85" s="17">
        <v>0.0</v>
      </c>
      <c r="AG85" s="17">
        <v>0.0</v>
      </c>
      <c r="AH85" s="19">
        <f t="shared" ref="AH85:AH88" si="21">SUM(C85:AG85)</f>
        <v>593073</v>
      </c>
    </row>
    <row r="86">
      <c r="A86" s="16" t="s">
        <v>81</v>
      </c>
      <c r="B86" s="27">
        <f t="shared" si="20"/>
        <v>0</v>
      </c>
      <c r="C86" s="17">
        <v>0.0</v>
      </c>
      <c r="D86" s="17">
        <v>0.0</v>
      </c>
      <c r="E86" s="17">
        <v>0.0</v>
      </c>
      <c r="F86" s="17">
        <v>0.0</v>
      </c>
      <c r="G86" s="17">
        <v>0.0</v>
      </c>
      <c r="H86" s="17">
        <v>0.0</v>
      </c>
      <c r="I86" s="17">
        <v>0.0</v>
      </c>
      <c r="J86" s="17">
        <v>0.0</v>
      </c>
      <c r="K86" s="17">
        <v>0.0</v>
      </c>
      <c r="L86" s="17">
        <v>0.0</v>
      </c>
      <c r="M86" s="17">
        <v>0.0</v>
      </c>
      <c r="N86" s="17">
        <v>0.0</v>
      </c>
      <c r="O86" s="17">
        <v>0.0</v>
      </c>
      <c r="P86" s="17">
        <v>0.0</v>
      </c>
      <c r="Q86" s="17">
        <v>0.0</v>
      </c>
      <c r="R86" s="17">
        <v>0.0</v>
      </c>
      <c r="S86" s="17">
        <v>0.0</v>
      </c>
      <c r="T86" s="17">
        <v>0.0</v>
      </c>
      <c r="U86" s="17">
        <v>0.0</v>
      </c>
      <c r="V86" s="17">
        <v>0.0</v>
      </c>
      <c r="W86" s="17">
        <v>0.0</v>
      </c>
      <c r="X86" s="17">
        <v>0.0</v>
      </c>
      <c r="Y86" s="17">
        <v>0.0</v>
      </c>
      <c r="Z86" s="17">
        <v>0.0</v>
      </c>
      <c r="AA86" s="17">
        <v>0.0</v>
      </c>
      <c r="AB86" s="17">
        <v>0.0</v>
      </c>
      <c r="AC86" s="17">
        <v>0.0</v>
      </c>
      <c r="AD86" s="17">
        <v>0.0</v>
      </c>
      <c r="AE86" s="17">
        <v>0.0</v>
      </c>
      <c r="AF86" s="17">
        <v>0.0</v>
      </c>
      <c r="AG86" s="17">
        <v>0.0</v>
      </c>
      <c r="AH86" s="19">
        <f t="shared" si="21"/>
        <v>0</v>
      </c>
    </row>
    <row r="87">
      <c r="A87" s="16" t="s">
        <v>82</v>
      </c>
      <c r="B87" s="27">
        <f t="shared" si="20"/>
        <v>0</v>
      </c>
      <c r="C87" s="17">
        <v>0.0</v>
      </c>
      <c r="D87" s="17">
        <v>0.0</v>
      </c>
      <c r="E87" s="17">
        <v>0.0</v>
      </c>
      <c r="F87" s="17">
        <v>0.0</v>
      </c>
      <c r="G87" s="17">
        <v>0.0</v>
      </c>
      <c r="H87" s="17">
        <v>0.0</v>
      </c>
      <c r="I87" s="17">
        <v>0.0</v>
      </c>
      <c r="J87" s="17">
        <v>0.0</v>
      </c>
      <c r="K87" s="17">
        <v>0.0</v>
      </c>
      <c r="L87" s="17">
        <v>0.0</v>
      </c>
      <c r="M87" s="17">
        <v>0.0</v>
      </c>
      <c r="N87" s="17">
        <v>0.0</v>
      </c>
      <c r="O87" s="17">
        <v>0.0</v>
      </c>
      <c r="P87" s="17">
        <v>0.0</v>
      </c>
      <c r="Q87" s="17">
        <v>0.0</v>
      </c>
      <c r="R87" s="17">
        <v>0.0</v>
      </c>
      <c r="S87" s="17">
        <v>0.0</v>
      </c>
      <c r="T87" s="17">
        <v>0.0</v>
      </c>
      <c r="U87" s="17">
        <v>0.0</v>
      </c>
      <c r="V87" s="17">
        <v>0.0</v>
      </c>
      <c r="W87" s="17">
        <v>0.0</v>
      </c>
      <c r="X87" s="17">
        <v>0.0</v>
      </c>
      <c r="Y87" s="17">
        <v>0.0</v>
      </c>
      <c r="Z87" s="17">
        <v>0.0</v>
      </c>
      <c r="AA87" s="17">
        <v>0.0</v>
      </c>
      <c r="AB87" s="17">
        <v>0.0</v>
      </c>
      <c r="AC87" s="17">
        <v>0.0</v>
      </c>
      <c r="AD87" s="17">
        <v>0.0</v>
      </c>
      <c r="AE87" s="17">
        <v>0.0</v>
      </c>
      <c r="AF87" s="17">
        <v>0.0</v>
      </c>
      <c r="AG87" s="17">
        <v>0.0</v>
      </c>
      <c r="AH87" s="19">
        <f t="shared" si="21"/>
        <v>0</v>
      </c>
    </row>
    <row r="88">
      <c r="A88" s="16" t="s">
        <v>83</v>
      </c>
      <c r="B88" s="27">
        <f t="shared" si="20"/>
        <v>0.04761371828</v>
      </c>
      <c r="C88" s="17">
        <v>0.0</v>
      </c>
      <c r="D88" s="17">
        <v>0.0</v>
      </c>
      <c r="E88" s="17">
        <v>314949.0</v>
      </c>
      <c r="F88" s="17">
        <v>0.0</v>
      </c>
      <c r="G88" s="17">
        <v>0.0</v>
      </c>
      <c r="H88" s="17">
        <v>0.0</v>
      </c>
      <c r="I88" s="17">
        <v>0.0</v>
      </c>
      <c r="J88" s="17">
        <v>0.0</v>
      </c>
      <c r="K88" s="17">
        <v>0.0</v>
      </c>
      <c r="L88" s="17">
        <v>489134.0</v>
      </c>
      <c r="M88" s="17">
        <v>0.0</v>
      </c>
      <c r="N88" s="17">
        <v>0.0</v>
      </c>
      <c r="O88" s="17">
        <v>0.0</v>
      </c>
      <c r="P88" s="17">
        <v>0.0</v>
      </c>
      <c r="Q88" s="17">
        <v>0.0</v>
      </c>
      <c r="R88" s="17">
        <v>0.0</v>
      </c>
      <c r="S88" s="17">
        <v>0.0</v>
      </c>
      <c r="T88" s="17">
        <v>0.0</v>
      </c>
      <c r="U88" s="17">
        <v>0.0</v>
      </c>
      <c r="V88" s="17">
        <v>0.0</v>
      </c>
      <c r="W88" s="17">
        <v>0.0</v>
      </c>
      <c r="X88" s="17">
        <v>0.0</v>
      </c>
      <c r="Y88" s="17">
        <v>0.0</v>
      </c>
      <c r="Z88" s="17">
        <v>0.0</v>
      </c>
      <c r="AA88" s="17">
        <v>0.0</v>
      </c>
      <c r="AB88" s="17">
        <v>0.0</v>
      </c>
      <c r="AC88" s="17">
        <v>0.0</v>
      </c>
      <c r="AD88" s="17">
        <v>0.0</v>
      </c>
      <c r="AE88" s="17">
        <v>0.0</v>
      </c>
      <c r="AF88" s="17">
        <v>0.0</v>
      </c>
      <c r="AG88" s="17">
        <v>0.0</v>
      </c>
      <c r="AH88" s="19">
        <f t="shared" si="21"/>
        <v>804083</v>
      </c>
    </row>
    <row r="89">
      <c r="A89" s="7"/>
      <c r="B89" s="8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>
      <c r="A90" s="47" t="s">
        <v>84</v>
      </c>
      <c r="B90" s="48">
        <f t="shared" ref="B90:B99" si="23">AH90/$AH$10</f>
        <v>0.141707485</v>
      </c>
      <c r="C90" s="49">
        <f t="shared" ref="C90:AG90" si="22">sum(C91:C99)</f>
        <v>0</v>
      </c>
      <c r="D90" s="49">
        <f t="shared" si="22"/>
        <v>100000</v>
      </c>
      <c r="E90" s="49">
        <f t="shared" si="22"/>
        <v>100000</v>
      </c>
      <c r="F90" s="49">
        <f t="shared" si="22"/>
        <v>0</v>
      </c>
      <c r="G90" s="49">
        <f t="shared" si="22"/>
        <v>0</v>
      </c>
      <c r="H90" s="49">
        <f t="shared" si="22"/>
        <v>181583</v>
      </c>
      <c r="I90" s="49">
        <f t="shared" si="22"/>
        <v>0</v>
      </c>
      <c r="J90" s="49">
        <f t="shared" si="22"/>
        <v>70000</v>
      </c>
      <c r="K90" s="49">
        <f t="shared" si="22"/>
        <v>0</v>
      </c>
      <c r="L90" s="49">
        <f t="shared" si="22"/>
        <v>50000</v>
      </c>
      <c r="M90" s="49">
        <f t="shared" si="22"/>
        <v>150000</v>
      </c>
      <c r="N90" s="49">
        <f t="shared" si="22"/>
        <v>1741521</v>
      </c>
      <c r="O90" s="49">
        <f t="shared" si="22"/>
        <v>0</v>
      </c>
      <c r="P90" s="49">
        <f t="shared" si="22"/>
        <v>0</v>
      </c>
      <c r="Q90" s="49">
        <f t="shared" si="22"/>
        <v>0</v>
      </c>
      <c r="R90" s="49">
        <f t="shared" si="22"/>
        <v>0</v>
      </c>
      <c r="S90" s="49">
        <f t="shared" si="22"/>
        <v>0</v>
      </c>
      <c r="T90" s="49">
        <f t="shared" si="22"/>
        <v>0</v>
      </c>
      <c r="U90" s="49">
        <f t="shared" si="22"/>
        <v>0</v>
      </c>
      <c r="V90" s="49">
        <f t="shared" si="22"/>
        <v>0</v>
      </c>
      <c r="W90" s="49">
        <f t="shared" si="22"/>
        <v>0</v>
      </c>
      <c r="X90" s="49">
        <f t="shared" si="22"/>
        <v>0</v>
      </c>
      <c r="Y90" s="49">
        <f t="shared" si="22"/>
        <v>0</v>
      </c>
      <c r="Z90" s="49">
        <f t="shared" si="22"/>
        <v>0</v>
      </c>
      <c r="AA90" s="49">
        <f t="shared" si="22"/>
        <v>0</v>
      </c>
      <c r="AB90" s="49">
        <f t="shared" si="22"/>
        <v>0</v>
      </c>
      <c r="AC90" s="49">
        <f t="shared" si="22"/>
        <v>0</v>
      </c>
      <c r="AD90" s="49">
        <f t="shared" si="22"/>
        <v>0</v>
      </c>
      <c r="AE90" s="49">
        <f t="shared" si="22"/>
        <v>0</v>
      </c>
      <c r="AF90" s="49">
        <f t="shared" si="22"/>
        <v>0</v>
      </c>
      <c r="AG90" s="49">
        <f t="shared" si="22"/>
        <v>0</v>
      </c>
      <c r="AH90" s="50">
        <f>SUM(AH91:AH99)</f>
        <v>2393104</v>
      </c>
    </row>
    <row r="91">
      <c r="A91" s="16" t="s">
        <v>85</v>
      </c>
      <c r="B91" s="27">
        <f t="shared" si="23"/>
        <v>0</v>
      </c>
      <c r="C91" s="20">
        <v>0.0</v>
      </c>
      <c r="D91" s="20">
        <v>0.0</v>
      </c>
      <c r="E91" s="20">
        <v>0.0</v>
      </c>
      <c r="F91" s="20">
        <v>0.0</v>
      </c>
      <c r="G91" s="20">
        <v>0.0</v>
      </c>
      <c r="H91" s="20">
        <v>0.0</v>
      </c>
      <c r="I91" s="20">
        <v>0.0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  <c r="O91" s="20">
        <v>0.0</v>
      </c>
      <c r="P91" s="20">
        <v>0.0</v>
      </c>
      <c r="Q91" s="20">
        <v>0.0</v>
      </c>
      <c r="R91" s="20">
        <v>0.0</v>
      </c>
      <c r="S91" s="20">
        <v>0.0</v>
      </c>
      <c r="T91" s="20">
        <v>0.0</v>
      </c>
      <c r="U91" s="20">
        <v>0.0</v>
      </c>
      <c r="V91" s="20">
        <v>0.0</v>
      </c>
      <c r="W91" s="20">
        <v>0.0</v>
      </c>
      <c r="X91" s="20">
        <v>0.0</v>
      </c>
      <c r="Y91" s="20">
        <v>0.0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20">
        <v>0.0</v>
      </c>
      <c r="AF91" s="20">
        <v>0.0</v>
      </c>
      <c r="AG91" s="20">
        <v>0.0</v>
      </c>
      <c r="AH91" s="19">
        <f t="shared" ref="AH91:AH99" si="24">SUM(C91:AG91)</f>
        <v>0</v>
      </c>
    </row>
    <row r="92">
      <c r="A92" s="16" t="s">
        <v>86</v>
      </c>
      <c r="B92" s="27">
        <f t="shared" si="23"/>
        <v>0.02487027045</v>
      </c>
      <c r="C92" s="20">
        <v>0.0</v>
      </c>
      <c r="D92" s="17">
        <v>100000.0</v>
      </c>
      <c r="E92" s="17">
        <v>100000.0</v>
      </c>
      <c r="F92" s="20">
        <v>0.0</v>
      </c>
      <c r="G92" s="20">
        <v>0.0</v>
      </c>
      <c r="H92" s="20">
        <v>0.0</v>
      </c>
      <c r="I92" s="20">
        <v>0.0</v>
      </c>
      <c r="J92" s="17">
        <v>70000.0</v>
      </c>
      <c r="K92" s="20">
        <v>0.0</v>
      </c>
      <c r="L92" s="20">
        <v>0.0</v>
      </c>
      <c r="M92" s="17">
        <v>150000.0</v>
      </c>
      <c r="N92" s="20">
        <v>0.0</v>
      </c>
      <c r="O92" s="20">
        <v>0.0</v>
      </c>
      <c r="P92" s="20">
        <v>0.0</v>
      </c>
      <c r="Q92" s="20">
        <v>0.0</v>
      </c>
      <c r="R92" s="20">
        <v>0.0</v>
      </c>
      <c r="S92" s="20">
        <v>0.0</v>
      </c>
      <c r="T92" s="20">
        <v>0.0</v>
      </c>
      <c r="U92" s="20">
        <v>0.0</v>
      </c>
      <c r="V92" s="20">
        <v>0.0</v>
      </c>
      <c r="W92" s="20">
        <v>0.0</v>
      </c>
      <c r="X92" s="20">
        <v>0.0</v>
      </c>
      <c r="Y92" s="20">
        <v>0.0</v>
      </c>
      <c r="Z92" s="20">
        <v>0.0</v>
      </c>
      <c r="AA92" s="20">
        <v>0.0</v>
      </c>
      <c r="AB92" s="20">
        <v>0.0</v>
      </c>
      <c r="AC92" s="20">
        <v>0.0</v>
      </c>
      <c r="AD92" s="20">
        <v>0.0</v>
      </c>
      <c r="AE92" s="20">
        <v>0.0</v>
      </c>
      <c r="AF92" s="20">
        <v>0.0</v>
      </c>
      <c r="AG92" s="20">
        <v>0.0</v>
      </c>
      <c r="AH92" s="19">
        <f t="shared" si="24"/>
        <v>420000</v>
      </c>
    </row>
    <row r="93">
      <c r="A93" s="16" t="s">
        <v>87</v>
      </c>
      <c r="B93" s="27">
        <f t="shared" si="23"/>
        <v>0</v>
      </c>
      <c r="C93" s="20">
        <v>0.0</v>
      </c>
      <c r="D93" s="20">
        <v>0.0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  <c r="P93" s="20">
        <v>0.0</v>
      </c>
      <c r="Q93" s="20">
        <v>0.0</v>
      </c>
      <c r="R93" s="20">
        <v>0.0</v>
      </c>
      <c r="S93" s="20">
        <v>0.0</v>
      </c>
      <c r="T93" s="20">
        <v>0.0</v>
      </c>
      <c r="U93" s="20">
        <v>0.0</v>
      </c>
      <c r="V93" s="20">
        <v>0.0</v>
      </c>
      <c r="W93" s="20">
        <v>0.0</v>
      </c>
      <c r="X93" s="20">
        <v>0.0</v>
      </c>
      <c r="Y93" s="20">
        <v>0.0</v>
      </c>
      <c r="Z93" s="20">
        <v>0.0</v>
      </c>
      <c r="AA93" s="20">
        <v>0.0</v>
      </c>
      <c r="AB93" s="20">
        <v>0.0</v>
      </c>
      <c r="AC93" s="20">
        <v>0.0</v>
      </c>
      <c r="AD93" s="20">
        <v>0.0</v>
      </c>
      <c r="AE93" s="20">
        <v>0.0</v>
      </c>
      <c r="AF93" s="20">
        <v>0.0</v>
      </c>
      <c r="AG93" s="20">
        <v>0.0</v>
      </c>
      <c r="AH93" s="19">
        <f t="shared" si="24"/>
        <v>0</v>
      </c>
    </row>
    <row r="94">
      <c r="A94" s="16" t="s">
        <v>88</v>
      </c>
      <c r="B94" s="27">
        <f t="shared" si="23"/>
        <v>0.002960746482</v>
      </c>
      <c r="C94" s="20">
        <v>0.0</v>
      </c>
      <c r="D94" s="20">
        <v>0.0</v>
      </c>
      <c r="E94" s="20">
        <v>0.0</v>
      </c>
      <c r="F94" s="20">
        <v>0.0</v>
      </c>
      <c r="G94" s="20">
        <v>0.0</v>
      </c>
      <c r="H94" s="20">
        <v>0.0</v>
      </c>
      <c r="I94" s="20">
        <v>0.0</v>
      </c>
      <c r="J94" s="20">
        <v>0.0</v>
      </c>
      <c r="K94" s="20">
        <v>0.0</v>
      </c>
      <c r="L94" s="17">
        <v>50000.0</v>
      </c>
      <c r="M94" s="20">
        <v>0.0</v>
      </c>
      <c r="N94" s="20">
        <v>0.0</v>
      </c>
      <c r="O94" s="20">
        <v>0.0</v>
      </c>
      <c r="P94" s="20">
        <v>0.0</v>
      </c>
      <c r="Q94" s="20">
        <v>0.0</v>
      </c>
      <c r="R94" s="20">
        <v>0.0</v>
      </c>
      <c r="S94" s="20">
        <v>0.0</v>
      </c>
      <c r="T94" s="20">
        <v>0.0</v>
      </c>
      <c r="U94" s="20">
        <v>0.0</v>
      </c>
      <c r="V94" s="20">
        <v>0.0</v>
      </c>
      <c r="W94" s="20">
        <v>0.0</v>
      </c>
      <c r="X94" s="20">
        <v>0.0</v>
      </c>
      <c r="Y94" s="20">
        <v>0.0</v>
      </c>
      <c r="Z94" s="20">
        <v>0.0</v>
      </c>
      <c r="AA94" s="20">
        <v>0.0</v>
      </c>
      <c r="AB94" s="20">
        <v>0.0</v>
      </c>
      <c r="AC94" s="20">
        <v>0.0</v>
      </c>
      <c r="AD94" s="20">
        <v>0.0</v>
      </c>
      <c r="AE94" s="20">
        <v>0.0</v>
      </c>
      <c r="AF94" s="20">
        <v>0.0</v>
      </c>
      <c r="AG94" s="20">
        <v>0.0</v>
      </c>
      <c r="AH94" s="19">
        <f t="shared" si="24"/>
        <v>50000</v>
      </c>
    </row>
    <row r="95">
      <c r="A95" s="16" t="s">
        <v>89</v>
      </c>
      <c r="B95" s="27">
        <f t="shared" si="23"/>
        <v>0.01075242457</v>
      </c>
      <c r="C95" s="20">
        <v>0.0</v>
      </c>
      <c r="D95" s="20">
        <v>0.0</v>
      </c>
      <c r="E95" s="20">
        <v>0.0</v>
      </c>
      <c r="F95" s="20">
        <v>0.0</v>
      </c>
      <c r="G95" s="20">
        <v>0.0</v>
      </c>
      <c r="H95" s="20">
        <f>39343+39343+39343+24211+39343</f>
        <v>181583</v>
      </c>
      <c r="I95" s="20">
        <v>0.0</v>
      </c>
      <c r="J95" s="20">
        <v>0.0</v>
      </c>
      <c r="K95" s="20">
        <v>0.0</v>
      </c>
      <c r="L95" s="20">
        <v>0.0</v>
      </c>
      <c r="M95" s="20">
        <v>0.0</v>
      </c>
      <c r="N95" s="20">
        <v>0.0</v>
      </c>
      <c r="O95" s="20">
        <v>0.0</v>
      </c>
      <c r="P95" s="20">
        <v>0.0</v>
      </c>
      <c r="Q95" s="20">
        <v>0.0</v>
      </c>
      <c r="R95" s="20">
        <v>0.0</v>
      </c>
      <c r="S95" s="20">
        <v>0.0</v>
      </c>
      <c r="T95" s="20">
        <v>0.0</v>
      </c>
      <c r="U95" s="20">
        <v>0.0</v>
      </c>
      <c r="V95" s="20">
        <v>0.0</v>
      </c>
      <c r="W95" s="20">
        <v>0.0</v>
      </c>
      <c r="X95" s="20">
        <v>0.0</v>
      </c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20">
        <v>0.0</v>
      </c>
      <c r="AF95" s="20">
        <v>0.0</v>
      </c>
      <c r="AG95" s="20">
        <v>0.0</v>
      </c>
      <c r="AH95" s="19">
        <f t="shared" si="24"/>
        <v>181583</v>
      </c>
    </row>
    <row r="96">
      <c r="A96" s="16" t="s">
        <v>90</v>
      </c>
      <c r="B96" s="27">
        <f t="shared" si="23"/>
        <v>0.1031240435</v>
      </c>
      <c r="C96" s="20">
        <v>0.0</v>
      </c>
      <c r="D96" s="20">
        <v>0.0</v>
      </c>
      <c r="E96" s="20">
        <v>0.0</v>
      </c>
      <c r="F96" s="20">
        <v>0.0</v>
      </c>
      <c r="G96" s="20">
        <v>0.0</v>
      </c>
      <c r="H96" s="20">
        <v>0.0</v>
      </c>
      <c r="I96" s="20">
        <v>0.0</v>
      </c>
      <c r="J96" s="20">
        <v>0.0</v>
      </c>
      <c r="K96" s="20">
        <v>0.0</v>
      </c>
      <c r="L96" s="20">
        <v>0.0</v>
      </c>
      <c r="M96" s="20">
        <v>0.0</v>
      </c>
      <c r="N96" s="17">
        <v>1741521.0</v>
      </c>
      <c r="O96" s="20">
        <v>0.0</v>
      </c>
      <c r="P96" s="20">
        <v>0.0</v>
      </c>
      <c r="Q96" s="20">
        <v>0.0</v>
      </c>
      <c r="R96" s="20">
        <v>0.0</v>
      </c>
      <c r="S96" s="20">
        <v>0.0</v>
      </c>
      <c r="T96" s="20">
        <v>0.0</v>
      </c>
      <c r="U96" s="20">
        <v>0.0</v>
      </c>
      <c r="V96" s="20">
        <v>0.0</v>
      </c>
      <c r="W96" s="20">
        <v>0.0</v>
      </c>
      <c r="X96" s="20">
        <v>0.0</v>
      </c>
      <c r="Y96" s="20">
        <v>0.0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20">
        <v>0.0</v>
      </c>
      <c r="AF96" s="20">
        <v>0.0</v>
      </c>
      <c r="AG96" s="20">
        <v>0.0</v>
      </c>
      <c r="AH96" s="19">
        <f t="shared" si="24"/>
        <v>1741521</v>
      </c>
    </row>
    <row r="97">
      <c r="A97" s="16" t="s">
        <v>91</v>
      </c>
      <c r="B97" s="27">
        <f t="shared" si="23"/>
        <v>0</v>
      </c>
      <c r="C97" s="20">
        <v>0.0</v>
      </c>
      <c r="D97" s="20">
        <v>0.0</v>
      </c>
      <c r="E97" s="20">
        <v>0.0</v>
      </c>
      <c r="F97" s="20">
        <v>0.0</v>
      </c>
      <c r="G97" s="20">
        <v>0.0</v>
      </c>
      <c r="H97" s="20">
        <v>0.0</v>
      </c>
      <c r="I97" s="20">
        <v>0.0</v>
      </c>
      <c r="J97" s="20">
        <v>0.0</v>
      </c>
      <c r="K97" s="20">
        <v>0.0</v>
      </c>
      <c r="L97" s="20">
        <v>0.0</v>
      </c>
      <c r="M97" s="20">
        <v>0.0</v>
      </c>
      <c r="N97" s="20">
        <v>0.0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20">
        <v>0.0</v>
      </c>
      <c r="W97" s="20">
        <v>0.0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20">
        <v>0.0</v>
      </c>
      <c r="AD97" s="20">
        <v>0.0</v>
      </c>
      <c r="AE97" s="20">
        <v>0.0</v>
      </c>
      <c r="AF97" s="20">
        <v>0.0</v>
      </c>
      <c r="AG97" s="20">
        <v>0.0</v>
      </c>
      <c r="AH97" s="19">
        <f t="shared" si="24"/>
        <v>0</v>
      </c>
    </row>
    <row r="98">
      <c r="A98" s="16" t="s">
        <v>92</v>
      </c>
      <c r="B98" s="27">
        <f t="shared" si="23"/>
        <v>0</v>
      </c>
      <c r="C98" s="20">
        <v>0.0</v>
      </c>
      <c r="D98" s="20">
        <v>0.0</v>
      </c>
      <c r="E98" s="20">
        <v>0.0</v>
      </c>
      <c r="F98" s="20">
        <v>0.0</v>
      </c>
      <c r="G98" s="20">
        <v>0.0</v>
      </c>
      <c r="H98" s="20">
        <v>0.0</v>
      </c>
      <c r="I98" s="20">
        <v>0.0</v>
      </c>
      <c r="J98" s="20">
        <v>0.0</v>
      </c>
      <c r="K98" s="20">
        <v>0.0</v>
      </c>
      <c r="L98" s="20">
        <v>0.0</v>
      </c>
      <c r="M98" s="20">
        <v>0.0</v>
      </c>
      <c r="N98" s="20">
        <v>0.0</v>
      </c>
      <c r="O98" s="20">
        <v>0.0</v>
      </c>
      <c r="P98" s="20">
        <v>0.0</v>
      </c>
      <c r="Q98" s="20">
        <v>0.0</v>
      </c>
      <c r="R98" s="20">
        <v>0.0</v>
      </c>
      <c r="S98" s="20">
        <v>0.0</v>
      </c>
      <c r="T98" s="20">
        <v>0.0</v>
      </c>
      <c r="U98" s="20">
        <v>0.0</v>
      </c>
      <c r="V98" s="20">
        <v>0.0</v>
      </c>
      <c r="W98" s="20">
        <v>0.0</v>
      </c>
      <c r="X98" s="20">
        <v>0.0</v>
      </c>
      <c r="Y98" s="20">
        <v>0.0</v>
      </c>
      <c r="Z98" s="20">
        <v>0.0</v>
      </c>
      <c r="AA98" s="20">
        <v>0.0</v>
      </c>
      <c r="AB98" s="20">
        <v>0.0</v>
      </c>
      <c r="AC98" s="20">
        <v>0.0</v>
      </c>
      <c r="AD98" s="20">
        <v>0.0</v>
      </c>
      <c r="AE98" s="20">
        <v>0.0</v>
      </c>
      <c r="AF98" s="20">
        <v>0.0</v>
      </c>
      <c r="AG98" s="20">
        <v>0.0</v>
      </c>
      <c r="AH98" s="19">
        <f t="shared" si="24"/>
        <v>0</v>
      </c>
    </row>
    <row r="99">
      <c r="A99" s="16" t="s">
        <v>93</v>
      </c>
      <c r="B99" s="27">
        <f t="shared" si="23"/>
        <v>0</v>
      </c>
      <c r="C99" s="20">
        <v>0.0</v>
      </c>
      <c r="D99" s="20">
        <v>0.0</v>
      </c>
      <c r="E99" s="20">
        <v>0.0</v>
      </c>
      <c r="F99" s="20">
        <v>0.0</v>
      </c>
      <c r="G99" s="20">
        <v>0.0</v>
      </c>
      <c r="H99" s="20">
        <v>0.0</v>
      </c>
      <c r="I99" s="20">
        <v>0.0</v>
      </c>
      <c r="J99" s="20">
        <v>0.0</v>
      </c>
      <c r="K99" s="20">
        <v>0.0</v>
      </c>
      <c r="L99" s="20">
        <v>0.0</v>
      </c>
      <c r="M99" s="20">
        <v>0.0</v>
      </c>
      <c r="N99" s="20">
        <v>0.0</v>
      </c>
      <c r="O99" s="20">
        <v>0.0</v>
      </c>
      <c r="P99" s="20">
        <v>0.0</v>
      </c>
      <c r="Q99" s="20">
        <v>0.0</v>
      </c>
      <c r="R99" s="20">
        <v>0.0</v>
      </c>
      <c r="S99" s="20">
        <v>0.0</v>
      </c>
      <c r="T99" s="20">
        <v>0.0</v>
      </c>
      <c r="U99" s="20">
        <v>0.0</v>
      </c>
      <c r="V99" s="20">
        <v>0.0</v>
      </c>
      <c r="W99" s="20">
        <v>0.0</v>
      </c>
      <c r="X99" s="20">
        <v>0.0</v>
      </c>
      <c r="Y99" s="20">
        <v>0.0</v>
      </c>
      <c r="Z99" s="20">
        <v>0.0</v>
      </c>
      <c r="AA99" s="20">
        <v>0.0</v>
      </c>
      <c r="AB99" s="20">
        <v>0.0</v>
      </c>
      <c r="AC99" s="20">
        <v>0.0</v>
      </c>
      <c r="AD99" s="20">
        <v>0.0</v>
      </c>
      <c r="AE99" s="20">
        <v>0.0</v>
      </c>
      <c r="AF99" s="20">
        <v>0.0</v>
      </c>
      <c r="AG99" s="20">
        <v>0.0</v>
      </c>
      <c r="AH99" s="19">
        <f t="shared" si="24"/>
        <v>0</v>
      </c>
    </row>
    <row r="100">
      <c r="A100" s="7"/>
      <c r="B100" s="8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>
      <c r="A101" s="51" t="s">
        <v>94</v>
      </c>
      <c r="B101" s="52">
        <f t="shared" ref="B101:B103" si="26">AH101/$AH$10</f>
        <v>0</v>
      </c>
      <c r="C101" s="53">
        <f t="shared" ref="C101:AH101" si="25">SUM(C102:C103)</f>
        <v>0</v>
      </c>
      <c r="D101" s="53">
        <f t="shared" si="25"/>
        <v>0</v>
      </c>
      <c r="E101" s="53">
        <f t="shared" si="25"/>
        <v>0</v>
      </c>
      <c r="F101" s="53">
        <f t="shared" si="25"/>
        <v>0</v>
      </c>
      <c r="G101" s="53">
        <f t="shared" si="25"/>
        <v>0</v>
      </c>
      <c r="H101" s="53">
        <f t="shared" si="25"/>
        <v>0</v>
      </c>
      <c r="I101" s="53">
        <f t="shared" si="25"/>
        <v>0</v>
      </c>
      <c r="J101" s="53">
        <f t="shared" si="25"/>
        <v>0</v>
      </c>
      <c r="K101" s="53">
        <f t="shared" si="25"/>
        <v>0</v>
      </c>
      <c r="L101" s="53">
        <f t="shared" si="25"/>
        <v>0</v>
      </c>
      <c r="M101" s="53">
        <f t="shared" si="25"/>
        <v>0</v>
      </c>
      <c r="N101" s="53">
        <f t="shared" si="25"/>
        <v>0</v>
      </c>
      <c r="O101" s="53">
        <f t="shared" si="25"/>
        <v>0</v>
      </c>
      <c r="P101" s="53">
        <f t="shared" si="25"/>
        <v>0</v>
      </c>
      <c r="Q101" s="53">
        <f t="shared" si="25"/>
        <v>0</v>
      </c>
      <c r="R101" s="53">
        <f t="shared" si="25"/>
        <v>0</v>
      </c>
      <c r="S101" s="53">
        <f t="shared" si="25"/>
        <v>0</v>
      </c>
      <c r="T101" s="53">
        <f t="shared" si="25"/>
        <v>0</v>
      </c>
      <c r="U101" s="53">
        <f t="shared" si="25"/>
        <v>0</v>
      </c>
      <c r="V101" s="53">
        <f t="shared" si="25"/>
        <v>0</v>
      </c>
      <c r="W101" s="53">
        <f t="shared" si="25"/>
        <v>0</v>
      </c>
      <c r="X101" s="53">
        <f t="shared" si="25"/>
        <v>0</v>
      </c>
      <c r="Y101" s="53">
        <f t="shared" si="25"/>
        <v>0</v>
      </c>
      <c r="Z101" s="53">
        <f t="shared" si="25"/>
        <v>0</v>
      </c>
      <c r="AA101" s="53">
        <f t="shared" si="25"/>
        <v>0</v>
      </c>
      <c r="AB101" s="53">
        <f t="shared" si="25"/>
        <v>0</v>
      </c>
      <c r="AC101" s="53">
        <f t="shared" si="25"/>
        <v>0</v>
      </c>
      <c r="AD101" s="53">
        <f t="shared" si="25"/>
        <v>0</v>
      </c>
      <c r="AE101" s="53">
        <f t="shared" si="25"/>
        <v>0</v>
      </c>
      <c r="AF101" s="53">
        <f t="shared" si="25"/>
        <v>0</v>
      </c>
      <c r="AG101" s="53">
        <f t="shared" si="25"/>
        <v>0</v>
      </c>
      <c r="AH101" s="54">
        <f t="shared" si="25"/>
        <v>0</v>
      </c>
    </row>
    <row r="102">
      <c r="A102" s="16" t="s">
        <v>95</v>
      </c>
      <c r="B102" s="27">
        <f t="shared" si="26"/>
        <v>0</v>
      </c>
      <c r="C102" s="20">
        <v>0.0</v>
      </c>
      <c r="D102" s="20">
        <v>0.0</v>
      </c>
      <c r="E102" s="20">
        <v>0.0</v>
      </c>
      <c r="F102" s="20">
        <v>0.0</v>
      </c>
      <c r="G102" s="20">
        <v>0.0</v>
      </c>
      <c r="H102" s="20">
        <v>0.0</v>
      </c>
      <c r="I102" s="20">
        <v>0.0</v>
      </c>
      <c r="J102" s="20">
        <v>0.0</v>
      </c>
      <c r="K102" s="20">
        <v>0.0</v>
      </c>
      <c r="L102" s="20">
        <v>0.0</v>
      </c>
      <c r="M102" s="20">
        <v>0.0</v>
      </c>
      <c r="N102" s="20">
        <v>0.0</v>
      </c>
      <c r="O102" s="20">
        <v>0.0</v>
      </c>
      <c r="P102" s="20">
        <v>0.0</v>
      </c>
      <c r="Q102" s="20">
        <v>0.0</v>
      </c>
      <c r="R102" s="20">
        <v>0.0</v>
      </c>
      <c r="S102" s="20">
        <v>0.0</v>
      </c>
      <c r="T102" s="20">
        <v>0.0</v>
      </c>
      <c r="U102" s="20">
        <v>0.0</v>
      </c>
      <c r="V102" s="17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20">
        <v>0.0</v>
      </c>
      <c r="AE102" s="20">
        <v>0.0</v>
      </c>
      <c r="AF102" s="20">
        <v>0.0</v>
      </c>
      <c r="AG102" s="20">
        <v>0.0</v>
      </c>
      <c r="AH102" s="19">
        <f t="shared" ref="AH102:AH103" si="27">SUM(C102:AG102)</f>
        <v>0</v>
      </c>
    </row>
    <row r="103">
      <c r="A103" s="16" t="s">
        <v>96</v>
      </c>
      <c r="B103" s="27">
        <f t="shared" si="26"/>
        <v>0</v>
      </c>
      <c r="C103" s="20">
        <v>0.0</v>
      </c>
      <c r="D103" s="20">
        <v>0.0</v>
      </c>
      <c r="E103" s="20">
        <v>0.0</v>
      </c>
      <c r="F103" s="20">
        <v>0.0</v>
      </c>
      <c r="G103" s="20">
        <v>0.0</v>
      </c>
      <c r="H103" s="20">
        <v>0.0</v>
      </c>
      <c r="I103" s="20">
        <v>0.0</v>
      </c>
      <c r="J103" s="20">
        <v>0.0</v>
      </c>
      <c r="K103" s="20">
        <v>0.0</v>
      </c>
      <c r="L103" s="20">
        <v>0.0</v>
      </c>
      <c r="M103" s="20">
        <v>0.0</v>
      </c>
      <c r="N103" s="20">
        <v>0.0</v>
      </c>
      <c r="O103" s="20">
        <v>0.0</v>
      </c>
      <c r="P103" s="20">
        <v>0.0</v>
      </c>
      <c r="Q103" s="20">
        <v>0.0</v>
      </c>
      <c r="R103" s="20">
        <v>0.0</v>
      </c>
      <c r="S103" s="20">
        <v>0.0</v>
      </c>
      <c r="T103" s="17">
        <v>0.0</v>
      </c>
      <c r="U103" s="17">
        <v>0.0</v>
      </c>
      <c r="V103" s="17">
        <v>0.0</v>
      </c>
      <c r="W103" s="20">
        <v>0.0</v>
      </c>
      <c r="X103" s="20">
        <v>0.0</v>
      </c>
      <c r="Y103" s="20">
        <v>0.0</v>
      </c>
      <c r="Z103" s="20">
        <v>0.0</v>
      </c>
      <c r="AA103" s="17">
        <v>0.0</v>
      </c>
      <c r="AB103" s="20">
        <v>0.0</v>
      </c>
      <c r="AC103" s="20">
        <v>0.0</v>
      </c>
      <c r="AD103" s="20">
        <v>0.0</v>
      </c>
      <c r="AE103" s="20">
        <v>0.0</v>
      </c>
      <c r="AF103" s="20">
        <v>0.0</v>
      </c>
      <c r="AG103" s="20">
        <v>0.0</v>
      </c>
      <c r="AH103" s="19">
        <f t="shared" si="27"/>
        <v>0</v>
      </c>
    </row>
    <row r="104">
      <c r="A104" s="7"/>
      <c r="B104" s="8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7"/>
      <c r="AH104" s="7"/>
    </row>
    <row r="105">
      <c r="A105" s="55" t="s">
        <v>97</v>
      </c>
      <c r="B105" s="56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8"/>
      <c r="AH105" s="38">
        <f>AH106+AH107</f>
        <v>0</v>
      </c>
    </row>
    <row r="106">
      <c r="A106" s="16" t="s">
        <v>98</v>
      </c>
      <c r="B106" s="8"/>
      <c r="C106" s="20">
        <v>0.0</v>
      </c>
      <c r="D106" s="20">
        <v>0.0</v>
      </c>
      <c r="E106" s="20">
        <v>0.0</v>
      </c>
      <c r="F106" s="20">
        <v>0.0</v>
      </c>
      <c r="G106" s="20">
        <v>0.0</v>
      </c>
      <c r="H106" s="20">
        <v>0.0</v>
      </c>
      <c r="I106" s="20">
        <v>0.0</v>
      </c>
      <c r="J106" s="20">
        <v>0.0</v>
      </c>
      <c r="K106" s="20">
        <v>0.0</v>
      </c>
      <c r="L106" s="20">
        <v>0.0</v>
      </c>
      <c r="M106" s="20">
        <v>0.0</v>
      </c>
      <c r="N106" s="20">
        <v>0.0</v>
      </c>
      <c r="O106" s="20">
        <v>0.0</v>
      </c>
      <c r="P106" s="20">
        <v>0.0</v>
      </c>
      <c r="Q106" s="20">
        <v>0.0</v>
      </c>
      <c r="R106" s="20">
        <v>0.0</v>
      </c>
      <c r="S106" s="20">
        <v>0.0</v>
      </c>
      <c r="T106" s="20">
        <v>0.0</v>
      </c>
      <c r="U106" s="20">
        <v>0.0</v>
      </c>
      <c r="V106" s="20">
        <v>0.0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17">
        <v>0.0</v>
      </c>
      <c r="AC106" s="20">
        <v>0.0</v>
      </c>
      <c r="AD106" s="20">
        <v>0.0</v>
      </c>
      <c r="AE106" s="17">
        <v>0.0</v>
      </c>
      <c r="AF106" s="20">
        <v>0.0</v>
      </c>
      <c r="AG106" s="20">
        <v>0.0</v>
      </c>
      <c r="AH106" s="59">
        <f t="shared" ref="AH106:AH107" si="28">sum(C106:AG106)</f>
        <v>0</v>
      </c>
    </row>
    <row r="107">
      <c r="A107" s="7"/>
      <c r="B107" s="8"/>
      <c r="C107" s="20">
        <v>0.0</v>
      </c>
      <c r="D107" s="20">
        <v>0.0</v>
      </c>
      <c r="E107" s="20">
        <v>0.0</v>
      </c>
      <c r="F107" s="20">
        <v>0.0</v>
      </c>
      <c r="G107" s="20">
        <v>0.0</v>
      </c>
      <c r="H107" s="20">
        <v>0.0</v>
      </c>
      <c r="I107" s="20">
        <v>0.0</v>
      </c>
      <c r="J107" s="20">
        <v>0.0</v>
      </c>
      <c r="K107" s="20">
        <v>0.0</v>
      </c>
      <c r="L107" s="20">
        <v>0.0</v>
      </c>
      <c r="M107" s="20">
        <v>0.0</v>
      </c>
      <c r="N107" s="20">
        <v>0.0</v>
      </c>
      <c r="O107" s="20">
        <v>0.0</v>
      </c>
      <c r="P107" s="20">
        <v>0.0</v>
      </c>
      <c r="Q107" s="20">
        <v>0.0</v>
      </c>
      <c r="R107" s="20">
        <v>0.0</v>
      </c>
      <c r="S107" s="20">
        <v>0.0</v>
      </c>
      <c r="T107" s="20">
        <v>0.0</v>
      </c>
      <c r="U107" s="20">
        <v>0.0</v>
      </c>
      <c r="V107" s="20">
        <v>0.0</v>
      </c>
      <c r="W107" s="20">
        <v>0.0</v>
      </c>
      <c r="X107" s="20">
        <v>0.0</v>
      </c>
      <c r="Y107" s="20">
        <v>0.0</v>
      </c>
      <c r="Z107" s="20">
        <v>0.0</v>
      </c>
      <c r="AA107" s="20">
        <v>0.0</v>
      </c>
      <c r="AB107" s="20">
        <v>0.0</v>
      </c>
      <c r="AC107" s="20">
        <v>0.0</v>
      </c>
      <c r="AD107" s="20">
        <v>0.0</v>
      </c>
      <c r="AE107" s="20">
        <v>0.0</v>
      </c>
      <c r="AF107" s="20">
        <v>0.0</v>
      </c>
      <c r="AG107" s="20">
        <v>0.0</v>
      </c>
      <c r="AH107" s="59">
        <f t="shared" si="28"/>
        <v>0</v>
      </c>
    </row>
    <row r="108">
      <c r="A108" s="7"/>
      <c r="B108" s="8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7"/>
      <c r="AH108" s="7"/>
    </row>
    <row r="109">
      <c r="A109" s="60" t="s">
        <v>99</v>
      </c>
      <c r="B109" s="61"/>
      <c r="C109" s="62">
        <f t="shared" ref="C109:AG109" si="29">C101+C90+C84+C34+C78+C12+C106+C107</f>
        <v>523205</v>
      </c>
      <c r="D109" s="62">
        <f t="shared" si="29"/>
        <v>150000</v>
      </c>
      <c r="E109" s="62">
        <f t="shared" si="29"/>
        <v>573194</v>
      </c>
      <c r="F109" s="62">
        <f t="shared" si="29"/>
        <v>2200315</v>
      </c>
      <c r="G109" s="62">
        <f t="shared" si="29"/>
        <v>557355</v>
      </c>
      <c r="H109" s="62">
        <f t="shared" si="29"/>
        <v>1004753</v>
      </c>
      <c r="I109" s="62">
        <f t="shared" si="29"/>
        <v>3825860</v>
      </c>
      <c r="J109" s="62">
        <f t="shared" si="29"/>
        <v>211805</v>
      </c>
      <c r="K109" s="62">
        <f t="shared" si="29"/>
        <v>401594</v>
      </c>
      <c r="L109" s="62">
        <f t="shared" si="29"/>
        <v>2648874</v>
      </c>
      <c r="M109" s="62">
        <f t="shared" si="29"/>
        <v>301200</v>
      </c>
      <c r="N109" s="62">
        <f t="shared" si="29"/>
        <v>2602130</v>
      </c>
      <c r="O109" s="62">
        <f t="shared" si="29"/>
        <v>0</v>
      </c>
      <c r="P109" s="62">
        <f t="shared" si="29"/>
        <v>0</v>
      </c>
      <c r="Q109" s="62">
        <f t="shared" si="29"/>
        <v>0</v>
      </c>
      <c r="R109" s="62">
        <f t="shared" si="29"/>
        <v>0</v>
      </c>
      <c r="S109" s="62">
        <f t="shared" si="29"/>
        <v>0</v>
      </c>
      <c r="T109" s="62">
        <f t="shared" si="29"/>
        <v>0</v>
      </c>
      <c r="U109" s="62">
        <f t="shared" si="29"/>
        <v>0</v>
      </c>
      <c r="V109" s="62">
        <f t="shared" si="29"/>
        <v>0</v>
      </c>
      <c r="W109" s="62">
        <f t="shared" si="29"/>
        <v>0</v>
      </c>
      <c r="X109" s="62">
        <f t="shared" si="29"/>
        <v>0</v>
      </c>
      <c r="Y109" s="62">
        <f t="shared" si="29"/>
        <v>0</v>
      </c>
      <c r="Z109" s="62">
        <f t="shared" si="29"/>
        <v>0</v>
      </c>
      <c r="AA109" s="62">
        <f t="shared" si="29"/>
        <v>0</v>
      </c>
      <c r="AB109" s="62">
        <f t="shared" si="29"/>
        <v>0</v>
      </c>
      <c r="AC109" s="62">
        <f t="shared" si="29"/>
        <v>0</v>
      </c>
      <c r="AD109" s="62">
        <f t="shared" si="29"/>
        <v>0</v>
      </c>
      <c r="AE109" s="62">
        <f t="shared" si="29"/>
        <v>0</v>
      </c>
      <c r="AF109" s="62">
        <f t="shared" si="29"/>
        <v>0</v>
      </c>
      <c r="AG109" s="62">
        <f t="shared" si="29"/>
        <v>0</v>
      </c>
      <c r="AH109" s="63">
        <f>sum(C109:AF109)</f>
        <v>15000285</v>
      </c>
    </row>
    <row r="110">
      <c r="A110" s="64" t="s">
        <v>100</v>
      </c>
      <c r="B110" s="65"/>
      <c r="C110" s="63">
        <f t="shared" ref="C110:AG110" si="30">C101+C90+C34+C78+C12</f>
        <v>523205</v>
      </c>
      <c r="D110" s="63">
        <f t="shared" si="30"/>
        <v>150000</v>
      </c>
      <c r="E110" s="63">
        <f t="shared" si="30"/>
        <v>258245</v>
      </c>
      <c r="F110" s="63">
        <f t="shared" si="30"/>
        <v>2200315</v>
      </c>
      <c r="G110" s="63">
        <f t="shared" si="30"/>
        <v>557355</v>
      </c>
      <c r="H110" s="63">
        <f t="shared" si="30"/>
        <v>1004753</v>
      </c>
      <c r="I110" s="63">
        <f t="shared" si="30"/>
        <v>3232787</v>
      </c>
      <c r="J110" s="63">
        <f t="shared" si="30"/>
        <v>211805</v>
      </c>
      <c r="K110" s="63">
        <f t="shared" si="30"/>
        <v>401594</v>
      </c>
      <c r="L110" s="63">
        <f t="shared" si="30"/>
        <v>2159740</v>
      </c>
      <c r="M110" s="63">
        <f t="shared" si="30"/>
        <v>301200</v>
      </c>
      <c r="N110" s="63">
        <f t="shared" si="30"/>
        <v>2602130</v>
      </c>
      <c r="O110" s="63">
        <f t="shared" si="30"/>
        <v>0</v>
      </c>
      <c r="P110" s="63">
        <f t="shared" si="30"/>
        <v>0</v>
      </c>
      <c r="Q110" s="63">
        <f t="shared" si="30"/>
        <v>0</v>
      </c>
      <c r="R110" s="63">
        <f t="shared" si="30"/>
        <v>0</v>
      </c>
      <c r="S110" s="63">
        <f t="shared" si="30"/>
        <v>0</v>
      </c>
      <c r="T110" s="63">
        <f t="shared" si="30"/>
        <v>0</v>
      </c>
      <c r="U110" s="63">
        <f t="shared" si="30"/>
        <v>0</v>
      </c>
      <c r="V110" s="63">
        <f t="shared" si="30"/>
        <v>0</v>
      </c>
      <c r="W110" s="63">
        <f t="shared" si="30"/>
        <v>0</v>
      </c>
      <c r="X110" s="63">
        <f t="shared" si="30"/>
        <v>0</v>
      </c>
      <c r="Y110" s="63">
        <f t="shared" si="30"/>
        <v>0</v>
      </c>
      <c r="Z110" s="63">
        <f t="shared" si="30"/>
        <v>0</v>
      </c>
      <c r="AA110" s="63">
        <f t="shared" si="30"/>
        <v>0</v>
      </c>
      <c r="AB110" s="63">
        <f t="shared" si="30"/>
        <v>0</v>
      </c>
      <c r="AC110" s="63">
        <f t="shared" si="30"/>
        <v>0</v>
      </c>
      <c r="AD110" s="63">
        <f t="shared" si="30"/>
        <v>0</v>
      </c>
      <c r="AE110" s="63">
        <f t="shared" si="30"/>
        <v>0</v>
      </c>
      <c r="AF110" s="63">
        <f t="shared" si="30"/>
        <v>0</v>
      </c>
      <c r="AG110" s="63">
        <f t="shared" si="30"/>
        <v>0</v>
      </c>
      <c r="AH110" s="63">
        <f>sum(C110:AG110)</f>
        <v>13603129</v>
      </c>
    </row>
    <row r="111">
      <c r="A111" s="7"/>
      <c r="B111" s="8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7"/>
      <c r="AH111" s="7"/>
    </row>
    <row r="112">
      <c r="A112" s="21" t="s">
        <v>101</v>
      </c>
      <c r="B112" s="27">
        <f>AH112/$AH$10</f>
        <v>0.1944916733</v>
      </c>
      <c r="C112" s="22">
        <f t="shared" ref="C112:AG112" si="31">C9-C110</f>
        <v>1116350</v>
      </c>
      <c r="D112" s="22">
        <f t="shared" si="31"/>
        <v>2717274</v>
      </c>
      <c r="E112" s="22">
        <f t="shared" si="31"/>
        <v>428068</v>
      </c>
      <c r="F112" s="22">
        <f t="shared" si="31"/>
        <v>-976865</v>
      </c>
      <c r="G112" s="22">
        <f t="shared" si="31"/>
        <v>930129</v>
      </c>
      <c r="H112" s="22">
        <f t="shared" si="31"/>
        <v>290111</v>
      </c>
      <c r="I112" s="22">
        <f t="shared" si="31"/>
        <v>-1626854</v>
      </c>
      <c r="J112" s="22">
        <f t="shared" si="31"/>
        <v>1235786</v>
      </c>
      <c r="K112" s="22">
        <f t="shared" si="31"/>
        <v>1726523</v>
      </c>
      <c r="L112" s="22">
        <f t="shared" si="31"/>
        <v>-1067254</v>
      </c>
      <c r="M112" s="22">
        <f t="shared" si="31"/>
        <v>709175</v>
      </c>
      <c r="N112" s="22">
        <f t="shared" si="31"/>
        <v>-1602545</v>
      </c>
      <c r="O112" s="22">
        <f t="shared" si="31"/>
        <v>801762</v>
      </c>
      <c r="P112" s="22">
        <f t="shared" si="31"/>
        <v>0</v>
      </c>
      <c r="Q112" s="22">
        <f t="shared" si="31"/>
        <v>0</v>
      </c>
      <c r="R112" s="22">
        <f t="shared" si="31"/>
        <v>0</v>
      </c>
      <c r="S112" s="22">
        <f t="shared" si="31"/>
        <v>0</v>
      </c>
      <c r="T112" s="22">
        <f t="shared" si="31"/>
        <v>0</v>
      </c>
      <c r="U112" s="22">
        <f t="shared" si="31"/>
        <v>0</v>
      </c>
      <c r="V112" s="22">
        <f t="shared" si="31"/>
        <v>0</v>
      </c>
      <c r="W112" s="22">
        <f t="shared" si="31"/>
        <v>0</v>
      </c>
      <c r="X112" s="22">
        <f t="shared" si="31"/>
        <v>0</v>
      </c>
      <c r="Y112" s="22">
        <f t="shared" si="31"/>
        <v>0</v>
      </c>
      <c r="Z112" s="22">
        <f t="shared" si="31"/>
        <v>0</v>
      </c>
      <c r="AA112" s="22">
        <f t="shared" si="31"/>
        <v>0</v>
      </c>
      <c r="AB112" s="22">
        <f t="shared" si="31"/>
        <v>0</v>
      </c>
      <c r="AC112" s="22">
        <f t="shared" si="31"/>
        <v>0</v>
      </c>
      <c r="AD112" s="22">
        <f t="shared" si="31"/>
        <v>0</v>
      </c>
      <c r="AE112" s="22">
        <f t="shared" si="31"/>
        <v>0</v>
      </c>
      <c r="AF112" s="22">
        <f t="shared" si="31"/>
        <v>0</v>
      </c>
      <c r="AG112" s="22">
        <f t="shared" si="31"/>
        <v>0</v>
      </c>
      <c r="AH112" s="19">
        <f>AH10-AH110</f>
        <v>3284504</v>
      </c>
    </row>
    <row r="113">
      <c r="A113" s="7"/>
      <c r="B113" s="8"/>
      <c r="C113" s="66"/>
      <c r="D113" s="66"/>
      <c r="E113" s="66"/>
      <c r="F113" s="66"/>
      <c r="G113" s="66"/>
      <c r="H113" s="66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>
      <c r="A1001" s="7"/>
      <c r="B1001" s="8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  <row r="1002">
      <c r="A1002" s="7"/>
      <c r="B1002" s="8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</row>
    <row r="1003">
      <c r="A1003" s="7"/>
      <c r="B1003" s="8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>
      <c r="A1004" s="7"/>
      <c r="B1004" s="8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</row>
    <row r="1005">
      <c r="A1005" s="7"/>
      <c r="B1005" s="8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</row>
    <row r="1006">
      <c r="A1006" s="7"/>
      <c r="B1006" s="8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</row>
    <row r="1007">
      <c r="A1007" s="7"/>
      <c r="B1007" s="8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</row>
    <row r="1008">
      <c r="A1008" s="7"/>
      <c r="B1008" s="8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</row>
    <row r="1009">
      <c r="A1009" s="7"/>
      <c r="B1009" s="8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</row>
    <row r="1010">
      <c r="A1010" s="7"/>
      <c r="B1010" s="8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</row>
    <row r="1011">
      <c r="A1011" s="7"/>
      <c r="B1011" s="8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</row>
    <row r="1012">
      <c r="A1012" s="7"/>
      <c r="B1012" s="8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</row>
    <row r="1013">
      <c r="A1013" s="7"/>
      <c r="B1013" s="8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</row>
    <row r="1014">
      <c r="A1014" s="7"/>
      <c r="B1014" s="8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</row>
    <row r="1015">
      <c r="A1015" s="7"/>
      <c r="B1015" s="8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</row>
    <row r="1016">
      <c r="A1016" s="7"/>
      <c r="B1016" s="8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</row>
    <row r="1017">
      <c r="A1017" s="7"/>
      <c r="B1017" s="8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>
      <c r="A1018" s="7"/>
      <c r="B1018" s="8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</row>
    <row r="1019">
      <c r="A1019" s="7"/>
      <c r="B1019" s="8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>
      <c r="A1020" s="7"/>
      <c r="B1020" s="8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</row>
    <row r="1021">
      <c r="A1021" s="7"/>
      <c r="B1021" s="8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</row>
    <row r="1022">
      <c r="A1022" s="7"/>
      <c r="B1022" s="8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</row>
    <row r="1023">
      <c r="A1023" s="7"/>
      <c r="B1023" s="8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>
      <c r="A1024" s="7"/>
      <c r="B1024" s="8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</row>
    <row r="1025">
      <c r="A1025" s="7"/>
      <c r="B1025" s="8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</row>
    <row r="1026">
      <c r="A1026" s="7"/>
      <c r="B1026" s="8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>
      <c r="A1027" s="7"/>
      <c r="B1027" s="8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</row>
    <row r="1028">
      <c r="A1028" s="7"/>
      <c r="B1028" s="8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</row>
    <row r="1029">
      <c r="A1029" s="7"/>
      <c r="B1029" s="8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>
      <c r="A1030" s="7"/>
      <c r="B1030" s="8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</row>
    <row r="1031">
      <c r="A1031" s="7"/>
      <c r="B1031" s="8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>
      <c r="A1032" s="7"/>
      <c r="B1032" s="8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</row>
    <row r="1033">
      <c r="A1033" s="7"/>
      <c r="B1033" s="8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</row>
    <row r="1034">
      <c r="A1034" s="7"/>
      <c r="B1034" s="8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</row>
    <row r="1035">
      <c r="A1035" s="7"/>
      <c r="B1035" s="8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</row>
    <row r="1036">
      <c r="A1036" s="7"/>
      <c r="B1036" s="8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>
      <c r="A1037" s="7"/>
      <c r="B1037" s="8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>
      <c r="A1038" s="7"/>
      <c r="B1038" s="8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</row>
    <row r="1039">
      <c r="A1039" s="7"/>
      <c r="B1039" s="8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</row>
    <row r="1040">
      <c r="A1040" s="7"/>
      <c r="B1040" s="8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</row>
    <row r="1041">
      <c r="A1041" s="7"/>
      <c r="B1041" s="8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</row>
    <row r="1042">
      <c r="A1042" s="7"/>
      <c r="B1042" s="8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</row>
    <row r="1043">
      <c r="A1043" s="7"/>
      <c r="B1043" s="8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</row>
    <row r="1044">
      <c r="A1044" s="7"/>
      <c r="B1044" s="8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</row>
    <row r="1045">
      <c r="A1045" s="7"/>
      <c r="B1045" s="8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</row>
    <row r="1046">
      <c r="A1046" s="7"/>
      <c r="B1046" s="8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</row>
    <row r="1047">
      <c r="A1047" s="7"/>
      <c r="B1047" s="8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</row>
    <row r="1048">
      <c r="A1048" s="7"/>
      <c r="B1048" s="8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</row>
    <row r="1049">
      <c r="A1049" s="7"/>
      <c r="B1049" s="8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</row>
    <row r="1050">
      <c r="A1050" s="7"/>
      <c r="B1050" s="8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</row>
    <row r="1051">
      <c r="A1051" s="7"/>
      <c r="B1051" s="8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</row>
    <row r="1052">
      <c r="A1052" s="7"/>
      <c r="B1052" s="8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9.75"/>
  </cols>
  <sheetData>
    <row r="1">
      <c r="A1" s="7"/>
      <c r="B1" s="7"/>
      <c r="C1" s="7"/>
      <c r="D1" s="67"/>
      <c r="E1" s="67"/>
      <c r="F1" s="67"/>
      <c r="G1" s="67"/>
      <c r="H1" s="67"/>
      <c r="I1" s="67"/>
      <c r="J1" s="67"/>
      <c r="K1" s="67"/>
      <c r="L1" s="67"/>
    </row>
    <row r="2">
      <c r="A2" s="7"/>
      <c r="B2" s="7"/>
      <c r="C2" s="1" t="s">
        <v>103</v>
      </c>
      <c r="D2" s="68" t="s">
        <v>104</v>
      </c>
      <c r="E2" s="68" t="s">
        <v>105</v>
      </c>
      <c r="F2" s="68" t="s">
        <v>106</v>
      </c>
      <c r="G2" s="68" t="s">
        <v>107</v>
      </c>
      <c r="H2" s="68" t="s">
        <v>108</v>
      </c>
      <c r="I2" s="68" t="s">
        <v>109</v>
      </c>
      <c r="J2" s="68" t="s">
        <v>110</v>
      </c>
      <c r="K2" s="69"/>
      <c r="L2" s="69" t="s">
        <v>111</v>
      </c>
    </row>
    <row r="3">
      <c r="A3" s="11" t="s">
        <v>2</v>
      </c>
      <c r="B3" s="70"/>
      <c r="C3" s="70"/>
      <c r="D3" s="71"/>
      <c r="E3" s="71"/>
      <c r="F3" s="71"/>
      <c r="G3" s="71"/>
      <c r="H3" s="71"/>
      <c r="I3" s="71"/>
      <c r="J3" s="71"/>
      <c r="K3" s="71"/>
      <c r="L3" s="71"/>
    </row>
    <row r="4">
      <c r="A4" s="16" t="s">
        <v>3</v>
      </c>
      <c r="B4" s="7"/>
      <c r="C4" s="59">
        <f>Enero!AH5</f>
        <v>42710797</v>
      </c>
      <c r="D4" s="72">
        <f>Febrero!AH5</f>
        <v>43184146</v>
      </c>
      <c r="E4" s="72">
        <f>Marzo!AH5</f>
        <v>37254065</v>
      </c>
      <c r="F4" s="72">
        <f>Abril!AH5</f>
        <v>37654360</v>
      </c>
      <c r="G4" s="72">
        <f>Mayo!AH5</f>
        <v>39469314</v>
      </c>
      <c r="H4" s="72">
        <f>Junio!AH5</f>
        <v>38132440</v>
      </c>
      <c r="I4" s="72">
        <f>Julio!AH5</f>
        <v>34952754</v>
      </c>
      <c r="J4" s="72"/>
      <c r="K4" s="72"/>
      <c r="L4" s="72">
        <f t="shared" ref="L4:L7" si="1">sum(C4:E4)</f>
        <v>123149008</v>
      </c>
    </row>
    <row r="5">
      <c r="A5" s="16" t="s">
        <v>4</v>
      </c>
      <c r="B5" s="7"/>
      <c r="C5" s="59">
        <f>Enero!AH6</f>
        <v>220070</v>
      </c>
      <c r="D5" s="72">
        <f>Febrero!AH6</f>
        <v>567410</v>
      </c>
      <c r="E5" s="72">
        <f>Marzo!AH6</f>
        <v>431510</v>
      </c>
      <c r="F5" s="72">
        <f>Abril!AH6</f>
        <v>161865</v>
      </c>
      <c r="G5" s="72">
        <f>Mayo!AH6</f>
        <v>496374</v>
      </c>
      <c r="H5" s="72">
        <f>Junio!AH6</f>
        <v>362195</v>
      </c>
      <c r="I5" s="72">
        <f>Julio!AH6</f>
        <v>155000</v>
      </c>
      <c r="J5" s="72"/>
      <c r="K5" s="72"/>
      <c r="L5" s="72">
        <f t="shared" si="1"/>
        <v>1218990</v>
      </c>
    </row>
    <row r="6">
      <c r="A6" s="16" t="s">
        <v>5</v>
      </c>
      <c r="B6" s="7"/>
      <c r="C6" s="59">
        <f>Enero!AH7</f>
        <v>380000</v>
      </c>
      <c r="D6" s="72">
        <f>Febrero!AH7</f>
        <v>250000</v>
      </c>
      <c r="E6" s="72">
        <f>Marzo!AH7</f>
        <v>200000</v>
      </c>
      <c r="F6" s="72">
        <f>Abril!AH7</f>
        <v>200000</v>
      </c>
      <c r="G6" s="72">
        <f>Mayo!AH7</f>
        <v>240000</v>
      </c>
      <c r="H6" s="72">
        <f>Junio!AH7</f>
        <v>240000</v>
      </c>
      <c r="I6" s="72">
        <f>Julio!AH7</f>
        <v>0</v>
      </c>
      <c r="J6" s="72"/>
      <c r="K6" s="72"/>
      <c r="L6" s="72">
        <f t="shared" si="1"/>
        <v>830000</v>
      </c>
    </row>
    <row r="7">
      <c r="A7" s="16" t="s">
        <v>6</v>
      </c>
      <c r="B7" s="7"/>
      <c r="C7" s="59">
        <f>Enero!AH8</f>
        <v>2387132</v>
      </c>
      <c r="D7" s="72">
        <f>Febrero!AH8</f>
        <v>2131924</v>
      </c>
      <c r="E7" s="72">
        <f>Marzo!AH8</f>
        <v>2934871</v>
      </c>
      <c r="F7" s="72">
        <f>Abril!AH8</f>
        <v>2642215</v>
      </c>
      <c r="G7" s="72">
        <f>Mayo!AH8</f>
        <v>2950223</v>
      </c>
      <c r="H7" s="72">
        <f>Junio!AH8</f>
        <v>3731165</v>
      </c>
      <c r="I7" s="72">
        <f>Julio!AH8</f>
        <v>2915130</v>
      </c>
      <c r="J7" s="72"/>
      <c r="K7" s="72"/>
      <c r="L7" s="72">
        <f t="shared" si="1"/>
        <v>7453927</v>
      </c>
    </row>
    <row r="8">
      <c r="A8" s="21" t="s">
        <v>7</v>
      </c>
      <c r="B8" s="7"/>
      <c r="C8" s="19">
        <f>Enero!AH9</f>
        <v>45697999</v>
      </c>
      <c r="D8" s="73">
        <f>Febrero!AH9</f>
        <v>46133480</v>
      </c>
      <c r="E8" s="73">
        <f>Marzo!AH9</f>
        <v>40820446</v>
      </c>
      <c r="F8" s="73">
        <f>Abril!AH9</f>
        <v>40658440</v>
      </c>
      <c r="G8" s="73">
        <f>Mayo!AH9</f>
        <v>43155911</v>
      </c>
      <c r="H8" s="73">
        <f>Junio!AH9</f>
        <v>42465800</v>
      </c>
      <c r="I8" s="73">
        <f>Julio!AH9</f>
        <v>38022884</v>
      </c>
      <c r="J8" s="73"/>
      <c r="K8" s="73"/>
      <c r="L8" s="73">
        <f t="shared" ref="L8:L9" si="2">SUM(C8:K8)</f>
        <v>296954960</v>
      </c>
    </row>
    <row r="9">
      <c r="A9" s="16" t="s">
        <v>112</v>
      </c>
      <c r="B9" s="7"/>
      <c r="C9" s="19">
        <f>Enero!AH10</f>
        <v>39294269</v>
      </c>
      <c r="D9" s="73">
        <f>Febrero!AH10</f>
        <v>41645305</v>
      </c>
      <c r="E9" s="73">
        <f>Marzo!AH10</f>
        <v>36939460</v>
      </c>
      <c r="F9" s="73">
        <f>Abril!AH10</f>
        <v>36439992</v>
      </c>
      <c r="G9" s="73">
        <f>Mayo!AH10</f>
        <v>38637974</v>
      </c>
      <c r="H9" s="73">
        <f>Junio!AH10</f>
        <v>37749452</v>
      </c>
      <c r="I9" s="73">
        <f>Julio!AH10</f>
        <v>33757475</v>
      </c>
      <c r="J9" s="73"/>
      <c r="K9" s="73"/>
      <c r="L9" s="73">
        <f t="shared" si="2"/>
        <v>264463927</v>
      </c>
    </row>
    <row r="10">
      <c r="A10" s="7"/>
      <c r="B10" s="7"/>
      <c r="C10" s="7"/>
      <c r="D10" s="72"/>
      <c r="E10" s="72"/>
      <c r="F10" s="72"/>
      <c r="G10" s="72" t="str">
        <f>Mayo!AH11</f>
        <v/>
      </c>
      <c r="H10" s="72"/>
      <c r="I10" s="72"/>
      <c r="J10" s="72"/>
      <c r="K10" s="72"/>
      <c r="L10" s="72"/>
    </row>
    <row r="11">
      <c r="A11" s="11" t="s">
        <v>9</v>
      </c>
      <c r="B11" s="74">
        <f>L11/$L$9</f>
        <v>0.3294954741</v>
      </c>
      <c r="C11" s="75">
        <f>Enero!AH12</f>
        <v>12355197</v>
      </c>
      <c r="D11" s="76">
        <f>Febrero!AH12</f>
        <v>13844092</v>
      </c>
      <c r="E11" s="76">
        <f>Marzo!AH12</f>
        <v>12333258</v>
      </c>
      <c r="F11" s="76">
        <f>Abril!AH12</f>
        <v>11367761</v>
      </c>
      <c r="G11" s="76">
        <f>Mayo!AH12</f>
        <v>11668767</v>
      </c>
      <c r="H11" s="76">
        <f>Junio!AH12</f>
        <v>13312960</v>
      </c>
      <c r="I11" s="76">
        <f>Julio!AH12</f>
        <v>12257632</v>
      </c>
      <c r="J11" s="76"/>
      <c r="K11" s="76"/>
      <c r="L11" s="76">
        <f t="shared" ref="L11:L31" si="3">SUM(C11:K11)</f>
        <v>87139667</v>
      </c>
    </row>
    <row r="12">
      <c r="A12" s="16" t="s">
        <v>10</v>
      </c>
      <c r="B12" s="7"/>
      <c r="C12" s="77">
        <f>Enero!AH13</f>
        <v>1206188</v>
      </c>
      <c r="D12" s="72">
        <f>Febrero!AH13</f>
        <v>1766704</v>
      </c>
      <c r="E12" s="72">
        <f>Marzo!AH13</f>
        <v>2131150</v>
      </c>
      <c r="F12" s="72">
        <f>Abril!AH13</f>
        <v>901157</v>
      </c>
      <c r="G12" s="72">
        <f>Mayo!AH13</f>
        <v>680924</v>
      </c>
      <c r="H12" s="78">
        <f>Junio!AH13</f>
        <v>4013412</v>
      </c>
      <c r="I12" s="72">
        <f>Julio!AH13</f>
        <v>2349146</v>
      </c>
      <c r="J12" s="72"/>
      <c r="K12" s="72"/>
      <c r="L12" s="72">
        <f t="shared" si="3"/>
        <v>13048681</v>
      </c>
    </row>
    <row r="13">
      <c r="A13" s="28" t="s">
        <v>12</v>
      </c>
      <c r="B13" s="7"/>
      <c r="C13" s="77"/>
      <c r="D13" s="72">
        <f>Febrero!AH14</f>
        <v>493000</v>
      </c>
      <c r="E13" s="72">
        <f>Marzo!AH14</f>
        <v>435000</v>
      </c>
      <c r="F13" s="72">
        <f>Abril!AH14</f>
        <v>476800</v>
      </c>
      <c r="G13" s="72">
        <f>Mayo!AH14</f>
        <v>357600</v>
      </c>
      <c r="H13" s="78">
        <f>Junio!AH14</f>
        <v>238400</v>
      </c>
      <c r="I13" s="72">
        <f>Julio!AH14</f>
        <v>506600</v>
      </c>
      <c r="J13" s="72"/>
      <c r="K13" s="72"/>
      <c r="L13" s="72">
        <f t="shared" si="3"/>
        <v>2507400</v>
      </c>
    </row>
    <row r="14">
      <c r="A14" s="16" t="s">
        <v>13</v>
      </c>
      <c r="B14" s="7"/>
      <c r="C14" s="77">
        <f>Enero!AH14</f>
        <v>2692465</v>
      </c>
      <c r="D14" s="72">
        <f>Febrero!AH15</f>
        <v>2783141</v>
      </c>
      <c r="E14" s="72">
        <f>Marzo!AH15</f>
        <v>2871668</v>
      </c>
      <c r="F14" s="72">
        <f>Abril!AH15</f>
        <v>2455666</v>
      </c>
      <c r="G14" s="72">
        <f>Mayo!AH15</f>
        <v>2223146</v>
      </c>
      <c r="H14" s="78">
        <f>Junio!AH15</f>
        <v>3056586</v>
      </c>
      <c r="I14" s="72">
        <f>Julio!AH15</f>
        <v>2503794</v>
      </c>
      <c r="J14" s="72"/>
      <c r="K14" s="72"/>
      <c r="L14" s="72">
        <f t="shared" si="3"/>
        <v>18586466</v>
      </c>
    </row>
    <row r="15">
      <c r="A15" s="28" t="s">
        <v>14</v>
      </c>
      <c r="B15" s="7"/>
      <c r="C15" s="77">
        <f>Enero!AH15</f>
        <v>153986</v>
      </c>
      <c r="D15" s="72">
        <f>Febrero!AH16</f>
        <v>0</v>
      </c>
      <c r="E15" s="72">
        <f>Marzo!AH16</f>
        <v>307972</v>
      </c>
      <c r="F15" s="72">
        <f>Abril!AH16</f>
        <v>307972</v>
      </c>
      <c r="G15" s="72">
        <f>Mayo!AH16</f>
        <v>153996</v>
      </c>
      <c r="H15" s="78">
        <f>Junio!AH16</f>
        <v>307972</v>
      </c>
      <c r="I15" s="72">
        <f>Julio!AH16</f>
        <v>307972</v>
      </c>
      <c r="J15" s="72"/>
      <c r="K15" s="72"/>
      <c r="L15" s="72">
        <f t="shared" si="3"/>
        <v>1539870</v>
      </c>
    </row>
    <row r="16">
      <c r="A16" s="28" t="s">
        <v>15</v>
      </c>
      <c r="B16" s="7"/>
      <c r="C16" s="77">
        <f>Enero!AH16</f>
        <v>1775956</v>
      </c>
      <c r="D16" s="72">
        <f>Febrero!AH17</f>
        <v>2461277</v>
      </c>
      <c r="E16" s="72">
        <f>Marzo!AH17</f>
        <v>1378139</v>
      </c>
      <c r="F16" s="72">
        <f>Abril!AH17</f>
        <v>1322209</v>
      </c>
      <c r="G16" s="72">
        <f>Mayo!AH17</f>
        <v>1807751</v>
      </c>
      <c r="H16" s="78">
        <f>Junio!AH17</f>
        <v>756000</v>
      </c>
      <c r="I16" s="72">
        <f>Julio!AH17</f>
        <v>1400000</v>
      </c>
      <c r="J16" s="72"/>
      <c r="K16" s="72"/>
      <c r="L16" s="72">
        <f t="shared" si="3"/>
        <v>10901332</v>
      </c>
    </row>
    <row r="17">
      <c r="A17" s="29" t="s">
        <v>16</v>
      </c>
      <c r="B17" s="7"/>
      <c r="C17" s="79">
        <v>0.0</v>
      </c>
      <c r="D17" s="78">
        <v>0.0</v>
      </c>
      <c r="E17" s="78">
        <v>0.0</v>
      </c>
      <c r="F17" s="72">
        <f>Abril!AH18</f>
        <v>267750</v>
      </c>
      <c r="G17" s="72">
        <f>Mayo!AH18</f>
        <v>770525</v>
      </c>
      <c r="H17" s="78">
        <f>Junio!AH18</f>
        <v>529550</v>
      </c>
      <c r="I17" s="72">
        <f>Julio!AH18</f>
        <v>248710</v>
      </c>
      <c r="J17" s="72"/>
      <c r="K17" s="72"/>
      <c r="L17" s="72">
        <f t="shared" si="3"/>
        <v>1816535</v>
      </c>
    </row>
    <row r="18">
      <c r="A18" s="29" t="s">
        <v>113</v>
      </c>
      <c r="B18" s="7"/>
      <c r="C18" s="77">
        <f>Enero!AH17</f>
        <v>2378185</v>
      </c>
      <c r="D18" s="72">
        <f>Febrero!AH18</f>
        <v>2742885</v>
      </c>
      <c r="E18" s="72">
        <f>Marzo!AH18</f>
        <v>2415170</v>
      </c>
      <c r="F18" s="72">
        <f>Abril!AH19</f>
        <v>2439490</v>
      </c>
      <c r="G18" s="72">
        <f>Mayo!AH19</f>
        <v>1913966</v>
      </c>
      <c r="H18" s="78">
        <f>Junio!AH19</f>
        <v>1743050</v>
      </c>
      <c r="I18" s="72">
        <f>Julio!AH19</f>
        <v>2167420</v>
      </c>
      <c r="J18" s="72"/>
      <c r="K18" s="72"/>
      <c r="L18" s="72">
        <f t="shared" si="3"/>
        <v>15800166</v>
      </c>
    </row>
    <row r="19">
      <c r="A19" s="28" t="s">
        <v>102</v>
      </c>
      <c r="B19" s="7"/>
      <c r="C19" s="79">
        <v>0.0</v>
      </c>
      <c r="D19" s="78">
        <v>0.0</v>
      </c>
      <c r="E19" s="78">
        <v>0.0</v>
      </c>
      <c r="F19" s="78">
        <v>0.0</v>
      </c>
      <c r="G19" s="72">
        <f>Mayo!AH20</f>
        <v>504000</v>
      </c>
      <c r="H19" s="78">
        <f>Junio!AH20</f>
        <v>504000</v>
      </c>
      <c r="I19" s="72">
        <f>Julio!AH20</f>
        <v>672000</v>
      </c>
      <c r="J19" s="72"/>
      <c r="K19" s="72"/>
      <c r="L19" s="72">
        <f t="shared" si="3"/>
        <v>1680000</v>
      </c>
    </row>
    <row r="20">
      <c r="A20" s="16" t="s">
        <v>21</v>
      </c>
      <c r="B20" s="7"/>
      <c r="C20" s="77">
        <f>Enero!AH18</f>
        <v>723520</v>
      </c>
      <c r="D20" s="72">
        <f>Febrero!AH19</f>
        <v>442680</v>
      </c>
      <c r="E20" s="72">
        <f>Marzo!AH19</f>
        <v>390425</v>
      </c>
      <c r="F20" s="72">
        <f>Abril!AH20</f>
        <v>628530</v>
      </c>
      <c r="G20" s="72">
        <f>Mayo!AH21</f>
        <v>108885</v>
      </c>
      <c r="H20" s="78">
        <f>Junio!AH21</f>
        <v>302260</v>
      </c>
      <c r="I20" s="72">
        <f>Julio!AH21</f>
        <v>199920</v>
      </c>
      <c r="J20" s="72"/>
      <c r="K20" s="72"/>
      <c r="L20" s="72">
        <f t="shared" si="3"/>
        <v>2796220</v>
      </c>
    </row>
    <row r="21">
      <c r="A21" s="16" t="s">
        <v>20</v>
      </c>
      <c r="B21" s="7"/>
      <c r="C21" s="77">
        <f>Enero!AH19</f>
        <v>372065</v>
      </c>
      <c r="D21" s="72">
        <f>Febrero!AH20</f>
        <v>0</v>
      </c>
      <c r="E21" s="72">
        <f>Marzo!AH20</f>
        <v>227742</v>
      </c>
      <c r="F21" s="72">
        <f>Abril!AH21</f>
        <v>283303</v>
      </c>
      <c r="G21" s="72">
        <f>Mayo!AH22</f>
        <v>289170</v>
      </c>
      <c r="H21" s="78">
        <f>Junio!AH22</f>
        <v>174335</v>
      </c>
      <c r="I21" s="72">
        <f>Julio!AH22</f>
        <v>400009</v>
      </c>
      <c r="J21" s="72"/>
      <c r="K21" s="72"/>
      <c r="L21" s="72">
        <f t="shared" si="3"/>
        <v>1746624</v>
      </c>
    </row>
    <row r="22">
      <c r="A22" s="16" t="s">
        <v>22</v>
      </c>
      <c r="B22" s="7"/>
      <c r="C22" s="77">
        <f>Enero!AH20</f>
        <v>0</v>
      </c>
      <c r="D22" s="72">
        <f>Febrero!AH21</f>
        <v>0</v>
      </c>
      <c r="E22" s="72">
        <f>Marzo!AH21</f>
        <v>0</v>
      </c>
      <c r="F22" s="72">
        <f>Abril!AH22</f>
        <v>0</v>
      </c>
      <c r="G22" s="72">
        <f>Mayo!AH23</f>
        <v>0</v>
      </c>
      <c r="H22" s="78">
        <f>Junio!AH23</f>
        <v>0</v>
      </c>
      <c r="I22" s="72">
        <f>Julio!AH23</f>
        <v>17580</v>
      </c>
      <c r="J22" s="72"/>
      <c r="K22" s="72"/>
      <c r="L22" s="72">
        <f t="shared" si="3"/>
        <v>17580</v>
      </c>
    </row>
    <row r="23">
      <c r="A23" s="16" t="s">
        <v>23</v>
      </c>
      <c r="B23" s="7"/>
      <c r="C23" s="77">
        <f>Enero!AH21</f>
        <v>237524</v>
      </c>
      <c r="D23" s="72">
        <f>Febrero!AH22</f>
        <v>252994</v>
      </c>
      <c r="E23" s="72">
        <f>Marzo!AH22</f>
        <v>134946</v>
      </c>
      <c r="F23" s="72">
        <f>Abril!AH23</f>
        <v>276080</v>
      </c>
      <c r="G23" s="72">
        <f>Mayo!AH24</f>
        <v>129424</v>
      </c>
      <c r="H23" s="78">
        <f>Junio!AH24</f>
        <v>222768</v>
      </c>
      <c r="I23" s="72">
        <f>Julio!AH24</f>
        <v>124236</v>
      </c>
      <c r="J23" s="72"/>
      <c r="K23" s="72"/>
      <c r="L23" s="72">
        <f t="shared" si="3"/>
        <v>1377972</v>
      </c>
    </row>
    <row r="24">
      <c r="A24" s="16" t="s">
        <v>24</v>
      </c>
      <c r="B24" s="7"/>
      <c r="C24" s="77">
        <f>Enero!AH22</f>
        <v>223062</v>
      </c>
      <c r="D24" s="72">
        <f>Febrero!AH23</f>
        <v>265603</v>
      </c>
      <c r="E24" s="72">
        <f>Marzo!AH23</f>
        <v>183459</v>
      </c>
      <c r="F24" s="72">
        <f>Abril!AH24</f>
        <v>79556</v>
      </c>
      <c r="G24" s="72">
        <f>Mayo!AH25</f>
        <v>224656</v>
      </c>
      <c r="H24" s="78">
        <f>Junio!AH25</f>
        <v>69615</v>
      </c>
      <c r="I24" s="72">
        <f>Julio!AH25</f>
        <v>112902</v>
      </c>
      <c r="J24" s="72"/>
      <c r="K24" s="72"/>
      <c r="L24" s="72">
        <f t="shared" si="3"/>
        <v>1158853</v>
      </c>
    </row>
    <row r="25">
      <c r="A25" s="16" t="s">
        <v>25</v>
      </c>
      <c r="B25" s="7"/>
      <c r="C25" s="77">
        <f>Enero!AH23</f>
        <v>691152</v>
      </c>
      <c r="D25" s="72">
        <f>Febrero!AH24</f>
        <v>494445</v>
      </c>
      <c r="E25" s="72">
        <f>Marzo!AH24</f>
        <v>471240</v>
      </c>
      <c r="F25" s="72">
        <f>Abril!AH25</f>
        <v>282744</v>
      </c>
      <c r="G25" s="72">
        <f>Mayo!AH26</f>
        <v>534072</v>
      </c>
      <c r="H25" s="78">
        <f>Junio!AH26</f>
        <v>599522</v>
      </c>
      <c r="I25" s="72">
        <f>Julio!AH26</f>
        <v>282744</v>
      </c>
      <c r="J25" s="72"/>
      <c r="K25" s="72"/>
      <c r="L25" s="72">
        <f t="shared" si="3"/>
        <v>3355919</v>
      </c>
    </row>
    <row r="26">
      <c r="A26" s="16" t="s">
        <v>26</v>
      </c>
      <c r="B26" s="7"/>
      <c r="C26" s="77">
        <f>Enero!AH24</f>
        <v>389510</v>
      </c>
      <c r="D26" s="72">
        <f>Febrero!AH25</f>
        <v>330422</v>
      </c>
      <c r="E26" s="72">
        <f>Marzo!AH25</f>
        <v>241148</v>
      </c>
      <c r="F26" s="72">
        <f>Abril!AH26</f>
        <v>320109</v>
      </c>
      <c r="G26" s="72">
        <f>Mayo!AH27</f>
        <v>219708</v>
      </c>
      <c r="H26" s="78">
        <f>Junio!AH27</f>
        <v>0</v>
      </c>
      <c r="I26" s="72">
        <f>Julio!AH27</f>
        <v>0</v>
      </c>
      <c r="J26" s="72"/>
      <c r="K26" s="72"/>
      <c r="L26" s="72">
        <f t="shared" si="3"/>
        <v>1500897</v>
      </c>
    </row>
    <row r="27">
      <c r="A27" s="16" t="s">
        <v>27</v>
      </c>
      <c r="B27" s="7"/>
      <c r="C27" s="77">
        <f>Enero!AH25</f>
        <v>683762</v>
      </c>
      <c r="D27" s="72">
        <f>Febrero!AH26</f>
        <v>392296</v>
      </c>
      <c r="E27" s="72">
        <f>Marzo!AH26</f>
        <v>491639</v>
      </c>
      <c r="F27" s="72">
        <f>Abril!AH27</f>
        <v>655120</v>
      </c>
      <c r="G27" s="72">
        <f>Mayo!AH28</f>
        <v>536125</v>
      </c>
      <c r="H27" s="78">
        <f>Junio!AH28</f>
        <v>385548</v>
      </c>
      <c r="I27" s="72">
        <f>Julio!AH28</f>
        <v>258372</v>
      </c>
      <c r="J27" s="72"/>
      <c r="K27" s="72"/>
      <c r="L27" s="72">
        <f t="shared" si="3"/>
        <v>3402862</v>
      </c>
    </row>
    <row r="28">
      <c r="A28" s="16" t="s">
        <v>28</v>
      </c>
      <c r="B28" s="7"/>
      <c r="C28" s="77">
        <f>Enero!AH26</f>
        <v>179994</v>
      </c>
      <c r="D28" s="72">
        <f>Febrero!AH27</f>
        <v>179994</v>
      </c>
      <c r="E28" s="72">
        <f>Marzo!AH27</f>
        <v>89997</v>
      </c>
      <c r="F28" s="72">
        <f>Abril!AH28</f>
        <v>179994</v>
      </c>
      <c r="G28" s="72">
        <f>Mayo!AH29</f>
        <v>112497</v>
      </c>
      <c r="H28" s="78">
        <f>Junio!AH29</f>
        <v>89997</v>
      </c>
      <c r="I28" s="72">
        <f>Julio!AH29</f>
        <v>202494</v>
      </c>
      <c r="J28" s="72"/>
      <c r="K28" s="72"/>
      <c r="L28" s="72">
        <f t="shared" si="3"/>
        <v>1034967</v>
      </c>
    </row>
    <row r="29">
      <c r="A29" s="16" t="s">
        <v>29</v>
      </c>
      <c r="B29" s="7"/>
      <c r="C29" s="77">
        <f>Enero!AH27</f>
        <v>0</v>
      </c>
      <c r="D29" s="72">
        <f>Febrero!AH28</f>
        <v>331296</v>
      </c>
      <c r="E29" s="72">
        <f>Marzo!AH28</f>
        <v>0</v>
      </c>
      <c r="F29" s="72">
        <f>Abril!AH29</f>
        <v>0</v>
      </c>
      <c r="G29" s="72">
        <f>Mayo!AH30</f>
        <v>165648</v>
      </c>
      <c r="H29" s="78">
        <f>Junio!AH30</f>
        <v>82824</v>
      </c>
      <c r="I29" s="72">
        <f>Julio!AH30</f>
        <v>82824</v>
      </c>
      <c r="J29" s="72"/>
      <c r="K29" s="72"/>
      <c r="L29" s="72">
        <f t="shared" si="3"/>
        <v>662592</v>
      </c>
    </row>
    <row r="30">
      <c r="A30" s="16" t="s">
        <v>30</v>
      </c>
      <c r="B30" s="7"/>
      <c r="C30" s="77">
        <f>Enero!AH28</f>
        <v>0</v>
      </c>
      <c r="D30" s="72">
        <f>Febrero!AH29</f>
        <v>0</v>
      </c>
      <c r="E30" s="72">
        <f>Marzo!AH29</f>
        <v>53230</v>
      </c>
      <c r="F30" s="72">
        <f>Abril!AH30</f>
        <v>95663</v>
      </c>
      <c r="G30" s="72">
        <f>Mayo!AH31</f>
        <v>11180</v>
      </c>
      <c r="H30" s="78">
        <f>Junio!AH31</f>
        <v>3800</v>
      </c>
      <c r="I30" s="72">
        <f>Julio!AH31</f>
        <v>48900</v>
      </c>
      <c r="J30" s="72"/>
      <c r="K30" s="72"/>
      <c r="L30" s="72">
        <f t="shared" si="3"/>
        <v>212773</v>
      </c>
    </row>
    <row r="31">
      <c r="A31" s="16" t="s">
        <v>31</v>
      </c>
      <c r="B31" s="7"/>
      <c r="C31" s="77">
        <f>Enero!AH29</f>
        <v>647828</v>
      </c>
      <c r="D31" s="72">
        <f>Febrero!AH30</f>
        <v>907355</v>
      </c>
      <c r="E31" s="72">
        <f>Marzo!AH30</f>
        <v>510333</v>
      </c>
      <c r="F31" s="72">
        <f>Abril!AH31</f>
        <v>395618</v>
      </c>
      <c r="G31" s="72">
        <f>Mayo!AH32</f>
        <v>925494</v>
      </c>
      <c r="H31" s="78">
        <f>Junio!AH32</f>
        <v>233321</v>
      </c>
      <c r="I31" s="72">
        <f>Julio!AH32</f>
        <v>372009</v>
      </c>
      <c r="J31" s="72"/>
      <c r="K31" s="72"/>
      <c r="L31" s="72">
        <f t="shared" si="3"/>
        <v>3991958</v>
      </c>
    </row>
    <row r="32">
      <c r="A32" s="7"/>
      <c r="B32" s="7"/>
      <c r="C32" s="7"/>
      <c r="D32" s="72"/>
      <c r="E32" s="72">
        <f>Marzo!AH31</f>
        <v>0</v>
      </c>
      <c r="F32" s="72" t="str">
        <f>Abril!AH32</f>
        <v/>
      </c>
      <c r="G32" s="72"/>
      <c r="H32" s="72"/>
      <c r="I32" s="72" t="str">
        <f>Julio!AH33</f>
        <v/>
      </c>
      <c r="J32" s="72"/>
      <c r="K32" s="72"/>
      <c r="L32" s="72"/>
    </row>
    <row r="33">
      <c r="A33" s="7"/>
      <c r="B33" s="7"/>
      <c r="C33" s="7"/>
      <c r="D33" s="72"/>
      <c r="E33" s="72"/>
      <c r="F33" s="72"/>
      <c r="G33" s="72"/>
      <c r="H33" s="72"/>
      <c r="I33" s="72"/>
      <c r="J33" s="72"/>
      <c r="K33" s="72"/>
      <c r="L33" s="72"/>
    </row>
    <row r="34">
      <c r="A34" s="7"/>
      <c r="B34" s="7"/>
      <c r="C34" s="7"/>
      <c r="D34" s="72"/>
      <c r="E34" s="72"/>
      <c r="F34" s="72"/>
      <c r="G34" s="72"/>
      <c r="H34" s="72"/>
      <c r="I34" s="72"/>
      <c r="J34" s="72"/>
      <c r="K34" s="72"/>
      <c r="L34" s="72"/>
    </row>
    <row r="35">
      <c r="A35" s="31" t="s">
        <v>32</v>
      </c>
      <c r="B35" s="80">
        <f t="shared" ref="B35:B36" si="4">L35/$L$9</f>
        <v>0.1942448922</v>
      </c>
      <c r="C35" s="34">
        <f>C36+C58+C67</f>
        <v>8709559</v>
      </c>
      <c r="D35" s="81">
        <f>Febrero!AH32</f>
        <v>8645166</v>
      </c>
      <c r="E35" s="81">
        <f>Marzo!AH32</f>
        <v>7672799</v>
      </c>
      <c r="F35" s="81">
        <f>Abril!AH33</f>
        <v>8272383</v>
      </c>
      <c r="G35" s="81">
        <f>Mayo!AH34</f>
        <v>8336519</v>
      </c>
      <c r="H35" s="81">
        <f>Junio!AH34</f>
        <v>3826102</v>
      </c>
      <c r="I35" s="81">
        <f>Julio!AH34</f>
        <v>5908239</v>
      </c>
      <c r="J35" s="82"/>
      <c r="K35" s="82"/>
      <c r="L35" s="82">
        <f t="shared" ref="L35:L55" si="5">SUM(C35:K35)</f>
        <v>51370767</v>
      </c>
    </row>
    <row r="36">
      <c r="A36" s="35" t="s">
        <v>33</v>
      </c>
      <c r="B36" s="83">
        <f t="shared" si="4"/>
        <v>0.1572924424</v>
      </c>
      <c r="C36" s="84">
        <f>sum(C37:C56)</f>
        <v>6348917</v>
      </c>
      <c r="D36" s="85">
        <f>Febrero!AH33</f>
        <v>7270528</v>
      </c>
      <c r="E36" s="85">
        <f>Marzo!AH33</f>
        <v>6461887</v>
      </c>
      <c r="F36" s="85">
        <f>Abril!AH34</f>
        <v>7009100</v>
      </c>
      <c r="G36" s="86">
        <f>Mayo!AH35</f>
        <v>7004493</v>
      </c>
      <c r="H36" s="85">
        <f>Junio!AH35</f>
        <v>3068703</v>
      </c>
      <c r="I36" s="85">
        <f>Julio!AH35</f>
        <v>4434549</v>
      </c>
      <c r="J36" s="85"/>
      <c r="K36" s="85"/>
      <c r="L36" s="85">
        <f t="shared" si="5"/>
        <v>41598177</v>
      </c>
    </row>
    <row r="37">
      <c r="A37" s="16" t="s">
        <v>34</v>
      </c>
      <c r="B37" s="7"/>
      <c r="C37" s="59">
        <f>Enero!AH33</f>
        <v>159860</v>
      </c>
      <c r="D37" s="72">
        <f>Febrero!AH34</f>
        <v>194382</v>
      </c>
      <c r="E37" s="72">
        <f>Marzo!AH34</f>
        <v>207443</v>
      </c>
      <c r="F37" s="72">
        <f>Abril!AH35</f>
        <v>1382495</v>
      </c>
      <c r="G37" s="72">
        <f>Mayo!AH36</f>
        <v>1379705</v>
      </c>
      <c r="H37" s="87">
        <f>Junio!AH36</f>
        <v>233534</v>
      </c>
      <c r="I37" s="72">
        <f>Julio!AH36</f>
        <v>1274359</v>
      </c>
      <c r="J37" s="72"/>
      <c r="K37" s="72"/>
      <c r="L37" s="72">
        <f t="shared" si="5"/>
        <v>4831778</v>
      </c>
    </row>
    <row r="38">
      <c r="A38" s="16" t="s">
        <v>35</v>
      </c>
      <c r="B38" s="7"/>
      <c r="C38" s="59">
        <f>Enero!AH34</f>
        <v>140665</v>
      </c>
      <c r="D38" s="72">
        <f>Febrero!AH35</f>
        <v>66310</v>
      </c>
      <c r="E38" s="72">
        <f>Marzo!AH35</f>
        <v>110640</v>
      </c>
      <c r="F38" s="72">
        <f>Abril!AH36</f>
        <v>54950</v>
      </c>
      <c r="G38" s="72">
        <f>Mayo!AH37</f>
        <v>74252</v>
      </c>
      <c r="H38" s="87">
        <f>Junio!AH37</f>
        <v>75690</v>
      </c>
      <c r="I38" s="72">
        <f>Julio!AH37</f>
        <v>75690</v>
      </c>
      <c r="J38" s="72"/>
      <c r="K38" s="72"/>
      <c r="L38" s="72">
        <f t="shared" si="5"/>
        <v>598197</v>
      </c>
    </row>
    <row r="39">
      <c r="A39" s="16" t="s">
        <v>36</v>
      </c>
      <c r="B39" s="7"/>
      <c r="C39" s="59">
        <f>Enero!AH35</f>
        <v>372770</v>
      </c>
      <c r="D39" s="72">
        <f>Febrero!AH36</f>
        <v>374391</v>
      </c>
      <c r="E39" s="72">
        <f>Marzo!AH36</f>
        <v>394492</v>
      </c>
      <c r="F39" s="72">
        <f>Abril!AH37</f>
        <v>355020</v>
      </c>
      <c r="G39" s="72">
        <f>Mayo!AH38</f>
        <v>388053</v>
      </c>
      <c r="H39" s="87">
        <f>Junio!AH38</f>
        <v>113600</v>
      </c>
      <c r="I39" s="72">
        <f>Julio!AH38</f>
        <v>348583</v>
      </c>
      <c r="J39" s="72"/>
      <c r="K39" s="72"/>
      <c r="L39" s="72">
        <f t="shared" si="5"/>
        <v>2346909</v>
      </c>
    </row>
    <row r="40">
      <c r="A40" s="16" t="s">
        <v>37</v>
      </c>
      <c r="B40" s="7"/>
      <c r="C40" s="59">
        <f>Enero!AH36</f>
        <v>0</v>
      </c>
      <c r="D40" s="72">
        <f>Febrero!AH37</f>
        <v>0</v>
      </c>
      <c r="E40" s="72">
        <f>Marzo!AH37</f>
        <v>0</v>
      </c>
      <c r="F40" s="72">
        <f>Abril!AH38</f>
        <v>0</v>
      </c>
      <c r="G40" s="72">
        <f>Mayo!AH39</f>
        <v>0</v>
      </c>
      <c r="H40" s="87">
        <f>Junio!AH39</f>
        <v>0</v>
      </c>
      <c r="I40" s="72">
        <f>Julio!AH39</f>
        <v>0</v>
      </c>
      <c r="J40" s="72"/>
      <c r="K40" s="72"/>
      <c r="L40" s="72">
        <f t="shared" si="5"/>
        <v>0</v>
      </c>
    </row>
    <row r="41">
      <c r="A41" s="16" t="s">
        <v>38</v>
      </c>
      <c r="B41" s="7"/>
      <c r="C41" s="59">
        <f>Enero!AH37</f>
        <v>204551</v>
      </c>
      <c r="D41" s="72">
        <f>Febrero!AH38</f>
        <v>234575</v>
      </c>
      <c r="E41" s="72">
        <f>Marzo!AH38</f>
        <v>223822</v>
      </c>
      <c r="F41" s="72">
        <f>Abril!AH39</f>
        <v>209823</v>
      </c>
      <c r="G41" s="72">
        <f>Mayo!AH40</f>
        <v>212205</v>
      </c>
      <c r="H41" s="87">
        <f>Junio!AH40</f>
        <v>225903</v>
      </c>
      <c r="I41" s="72">
        <f>Julio!AH40</f>
        <v>212572</v>
      </c>
      <c r="J41" s="72"/>
      <c r="K41" s="72"/>
      <c r="L41" s="72">
        <f t="shared" si="5"/>
        <v>1523451</v>
      </c>
    </row>
    <row r="42">
      <c r="A42" s="16" t="s">
        <v>39</v>
      </c>
      <c r="B42" s="7"/>
      <c r="C42" s="59">
        <f>Enero!AH38</f>
        <v>47754</v>
      </c>
      <c r="D42" s="72">
        <f>Febrero!AH39</f>
        <v>47720</v>
      </c>
      <c r="E42" s="72">
        <f>Marzo!AH39</f>
        <v>47831</v>
      </c>
      <c r="F42" s="72">
        <f>Abril!AH40</f>
        <v>47886</v>
      </c>
      <c r="G42" s="72">
        <f>Mayo!AH41</f>
        <v>48236</v>
      </c>
      <c r="H42" s="87">
        <f>Junio!AH41</f>
        <v>0</v>
      </c>
      <c r="I42" s="72">
        <f>Julio!AH41</f>
        <v>97895</v>
      </c>
      <c r="J42" s="72"/>
      <c r="K42" s="72"/>
      <c r="L42" s="72">
        <f t="shared" si="5"/>
        <v>337322</v>
      </c>
    </row>
    <row r="43">
      <c r="A43" s="16" t="s">
        <v>40</v>
      </c>
      <c r="B43" s="7"/>
      <c r="C43" s="59">
        <f>Enero!AH39</f>
        <v>11517</v>
      </c>
      <c r="D43" s="72">
        <f>Febrero!AH40</f>
        <v>26122</v>
      </c>
      <c r="E43" s="72">
        <f>Marzo!AH40</f>
        <v>11811</v>
      </c>
      <c r="F43" s="72">
        <f>Abril!AH41</f>
        <v>11811</v>
      </c>
      <c r="G43" s="72">
        <f>Mayo!AH42</f>
        <v>0</v>
      </c>
      <c r="H43" s="87">
        <f>Junio!AH42</f>
        <v>11811</v>
      </c>
      <c r="I43" s="72">
        <f>Julio!AH42</f>
        <v>26791</v>
      </c>
      <c r="J43" s="72"/>
      <c r="K43" s="72"/>
      <c r="L43" s="72">
        <f t="shared" si="5"/>
        <v>99863</v>
      </c>
    </row>
    <row r="44">
      <c r="A44" s="16" t="s">
        <v>41</v>
      </c>
      <c r="B44" s="7"/>
      <c r="C44" s="59">
        <f>Enero!AH40</f>
        <v>300000</v>
      </c>
      <c r="D44" s="72">
        <f>Febrero!AH41</f>
        <v>300000</v>
      </c>
      <c r="E44" s="72">
        <f>Marzo!AH41</f>
        <v>350000</v>
      </c>
      <c r="F44" s="72">
        <f>Abril!AH42</f>
        <v>350000</v>
      </c>
      <c r="G44" s="72">
        <f>Mayo!AH43</f>
        <v>0</v>
      </c>
      <c r="H44" s="87">
        <f>Junio!AH43</f>
        <v>350000</v>
      </c>
      <c r="I44" s="72">
        <f>Julio!AH43</f>
        <v>0</v>
      </c>
      <c r="J44" s="72"/>
      <c r="K44" s="72"/>
      <c r="L44" s="72">
        <f t="shared" si="5"/>
        <v>1650000</v>
      </c>
    </row>
    <row r="45">
      <c r="A45" s="16" t="s">
        <v>42</v>
      </c>
      <c r="B45" s="7"/>
      <c r="C45" s="59">
        <f>Enero!AH41</f>
        <v>1827662</v>
      </c>
      <c r="D45" s="72">
        <f>Febrero!AH42</f>
        <v>1826361</v>
      </c>
      <c r="E45" s="72">
        <f>Marzo!AH42</f>
        <v>1830620</v>
      </c>
      <c r="F45" s="72">
        <f>Abril!AH43</f>
        <v>1832719</v>
      </c>
      <c r="G45" s="72">
        <f>Mayo!AH44</f>
        <v>1846141</v>
      </c>
      <c r="H45" s="87">
        <f>Junio!AH44</f>
        <v>1868871</v>
      </c>
      <c r="I45" s="72">
        <f>Julio!AH44</f>
        <v>1877859</v>
      </c>
      <c r="J45" s="72"/>
      <c r="K45" s="72"/>
      <c r="L45" s="72">
        <f t="shared" si="5"/>
        <v>12910233</v>
      </c>
    </row>
    <row r="46">
      <c r="A46" s="16" t="s">
        <v>43</v>
      </c>
      <c r="B46" s="7"/>
      <c r="C46" s="59">
        <f>Enero!AH42</f>
        <v>117850</v>
      </c>
      <c r="D46" s="72">
        <f>Febrero!AH43</f>
        <v>117850</v>
      </c>
      <c r="E46" s="72">
        <f>Marzo!AH43</f>
        <v>100000</v>
      </c>
      <c r="F46" s="72">
        <f>Abril!AH44</f>
        <v>0</v>
      </c>
      <c r="G46" s="72">
        <f>Mayo!AH45</f>
        <v>0</v>
      </c>
      <c r="H46" s="87">
        <f>Junio!AH45</f>
        <v>100000</v>
      </c>
      <c r="I46" s="72">
        <f>Julio!AH45</f>
        <v>100000</v>
      </c>
      <c r="J46" s="72"/>
      <c r="K46" s="72"/>
      <c r="L46" s="72">
        <f t="shared" si="5"/>
        <v>535700</v>
      </c>
    </row>
    <row r="47">
      <c r="A47" s="28" t="s">
        <v>44</v>
      </c>
      <c r="B47" s="7"/>
      <c r="C47" s="59"/>
      <c r="D47" s="72">
        <f>Febrero!AH44</f>
        <v>137992</v>
      </c>
      <c r="E47" s="72">
        <f>Marzo!AH44</f>
        <v>68996</v>
      </c>
      <c r="F47" s="72">
        <f>Abril!AH45</f>
        <v>77314</v>
      </c>
      <c r="G47" s="72">
        <f>Mayo!AH46</f>
        <v>77314</v>
      </c>
      <c r="H47" s="87">
        <f>Junio!AH46</f>
        <v>77314</v>
      </c>
      <c r="I47" s="72">
        <f>Julio!AH46</f>
        <v>0</v>
      </c>
      <c r="J47" s="72"/>
      <c r="K47" s="72"/>
      <c r="L47" s="72">
        <f t="shared" si="5"/>
        <v>438930</v>
      </c>
    </row>
    <row r="48">
      <c r="A48" s="16" t="s">
        <v>45</v>
      </c>
      <c r="B48" s="7"/>
      <c r="C48" s="59">
        <f>Enero!AH43</f>
        <v>0</v>
      </c>
      <c r="D48" s="72">
        <f>Febrero!AH45</f>
        <v>180370</v>
      </c>
      <c r="E48" s="72">
        <f>Marzo!AH45</f>
        <v>0</v>
      </c>
      <c r="F48" s="72">
        <f>Abril!AH46</f>
        <v>0</v>
      </c>
      <c r="G48" s="72">
        <f>Mayo!AH47</f>
        <v>0</v>
      </c>
      <c r="H48" s="87">
        <f>Junio!AH47</f>
        <v>0</v>
      </c>
      <c r="I48" s="72">
        <f>Julio!AH47</f>
        <v>0</v>
      </c>
      <c r="J48" s="72"/>
      <c r="K48" s="72"/>
      <c r="L48" s="72">
        <f t="shared" si="5"/>
        <v>180370</v>
      </c>
    </row>
    <row r="49">
      <c r="A49" s="16" t="s">
        <v>46</v>
      </c>
      <c r="B49" s="7"/>
      <c r="C49" s="59">
        <f>Enero!AH44</f>
        <v>187200</v>
      </c>
      <c r="D49" s="72">
        <f>Febrero!AH46</f>
        <v>309050</v>
      </c>
      <c r="E49" s="72">
        <f>Marzo!AH46</f>
        <v>0</v>
      </c>
      <c r="F49" s="72">
        <f>Abril!AH47</f>
        <v>39990</v>
      </c>
      <c r="G49" s="72">
        <f>Mayo!AH48</f>
        <v>168350</v>
      </c>
      <c r="H49" s="87">
        <f>Junio!AH48</f>
        <v>0</v>
      </c>
      <c r="I49" s="72">
        <f>Julio!AH48</f>
        <v>6000</v>
      </c>
      <c r="J49" s="72"/>
      <c r="K49" s="72"/>
      <c r="L49" s="72">
        <f t="shared" si="5"/>
        <v>710590</v>
      </c>
    </row>
    <row r="50">
      <c r="A50" s="16" t="s">
        <v>47</v>
      </c>
      <c r="B50" s="7"/>
      <c r="C50" s="59">
        <f>Enero!AH45</f>
        <v>68492</v>
      </c>
      <c r="D50" s="72">
        <f>Febrero!AH47</f>
        <v>173996</v>
      </c>
      <c r="E50" s="72">
        <f>Marzo!AH47</f>
        <v>0</v>
      </c>
      <c r="F50" s="72">
        <f>Abril!AH48</f>
        <v>6500</v>
      </c>
      <c r="G50" s="72">
        <f>Mayo!AH49</f>
        <v>7000</v>
      </c>
      <c r="H50" s="87">
        <f>Junio!AH49</f>
        <v>0</v>
      </c>
      <c r="I50" s="72">
        <f>Julio!AH49</f>
        <v>0</v>
      </c>
      <c r="J50" s="72"/>
      <c r="K50" s="72"/>
      <c r="L50" s="72">
        <f t="shared" si="5"/>
        <v>255988</v>
      </c>
    </row>
    <row r="51">
      <c r="A51" s="16" t="s">
        <v>48</v>
      </c>
      <c r="B51" s="7"/>
      <c r="C51" s="59">
        <f>Enero!AH46</f>
        <v>80000</v>
      </c>
      <c r="D51" s="72">
        <f>Febrero!AH48</f>
        <v>195000</v>
      </c>
      <c r="E51" s="72">
        <f>Marzo!AH48</f>
        <v>150000</v>
      </c>
      <c r="F51" s="72">
        <f>Abril!AH49</f>
        <v>0</v>
      </c>
      <c r="G51" s="72">
        <f>Mayo!AH50</f>
        <v>0</v>
      </c>
      <c r="H51" s="87">
        <f>Junio!AH50</f>
        <v>0</v>
      </c>
      <c r="I51" s="72">
        <f>Julio!AH50</f>
        <v>140000</v>
      </c>
      <c r="J51" s="72"/>
      <c r="K51" s="72"/>
      <c r="L51" s="72">
        <f t="shared" si="5"/>
        <v>565000</v>
      </c>
    </row>
    <row r="52">
      <c r="A52" s="16" t="s">
        <v>49</v>
      </c>
      <c r="B52" s="7"/>
      <c r="C52" s="59">
        <f>Enero!AH47</f>
        <v>115434</v>
      </c>
      <c r="D52" s="72">
        <f>Febrero!AH49</f>
        <v>145270</v>
      </c>
      <c r="E52" s="72">
        <f>Marzo!AH49</f>
        <v>97000</v>
      </c>
      <c r="F52" s="72">
        <f>Abril!AH50</f>
        <v>6550</v>
      </c>
      <c r="G52" s="72">
        <f>Mayo!AH51</f>
        <v>0</v>
      </c>
      <c r="H52" s="87">
        <f>Junio!AH51</f>
        <v>11980</v>
      </c>
      <c r="I52" s="72">
        <f>Julio!AH51</f>
        <v>274800</v>
      </c>
      <c r="J52" s="72"/>
      <c r="K52" s="72"/>
      <c r="L52" s="72">
        <f t="shared" si="5"/>
        <v>651034</v>
      </c>
    </row>
    <row r="53">
      <c r="A53" s="16" t="s">
        <v>50</v>
      </c>
      <c r="B53" s="7"/>
      <c r="C53" s="59">
        <f>Enero!AH48</f>
        <v>0</v>
      </c>
      <c r="D53" s="72">
        <f>Febrero!AH50</f>
        <v>0</v>
      </c>
      <c r="E53" s="72">
        <f>Marzo!AH50</f>
        <v>0</v>
      </c>
      <c r="F53" s="72">
        <f>Abril!AH51</f>
        <v>0</v>
      </c>
      <c r="G53" s="72">
        <f>Mayo!AH52</f>
        <v>140000</v>
      </c>
      <c r="H53" s="87">
        <f>Junio!AH52</f>
        <v>0</v>
      </c>
      <c r="I53" s="72">
        <f>Julio!AH52</f>
        <v>0</v>
      </c>
      <c r="J53" s="72"/>
      <c r="K53" s="72"/>
      <c r="L53" s="72">
        <f t="shared" si="5"/>
        <v>140000</v>
      </c>
    </row>
    <row r="54">
      <c r="A54" s="16" t="s">
        <v>51</v>
      </c>
      <c r="B54" s="7"/>
      <c r="C54" s="59">
        <f>Enero!AH49</f>
        <v>0</v>
      </c>
      <c r="D54" s="72">
        <f>Febrero!AH51</f>
        <v>0</v>
      </c>
      <c r="E54" s="72">
        <f>Marzo!AH51</f>
        <v>0</v>
      </c>
      <c r="F54" s="72">
        <f>Abril!AH52</f>
        <v>0</v>
      </c>
      <c r="G54" s="72">
        <f>Mayo!AH53</f>
        <v>0</v>
      </c>
      <c r="H54" s="87">
        <f>Junio!AH53</f>
        <v>0</v>
      </c>
      <c r="I54" s="72">
        <f>Julio!AH53</f>
        <v>0</v>
      </c>
      <c r="J54" s="72"/>
      <c r="K54" s="72"/>
      <c r="L54" s="72">
        <f t="shared" si="5"/>
        <v>0</v>
      </c>
    </row>
    <row r="55">
      <c r="A55" s="16" t="s">
        <v>52</v>
      </c>
      <c r="B55" s="7"/>
      <c r="C55" s="59">
        <f>Enero!AH50</f>
        <v>2715162</v>
      </c>
      <c r="D55" s="72">
        <f>Febrero!AH52</f>
        <v>2941139</v>
      </c>
      <c r="E55" s="72">
        <f>Marzo!AH52</f>
        <v>2869232</v>
      </c>
      <c r="F55" s="72">
        <f>Abril!AH53</f>
        <v>2634042</v>
      </c>
      <c r="G55" s="72">
        <f>Mayo!AH54</f>
        <v>2663237</v>
      </c>
      <c r="H55" s="87">
        <f>Junio!AH54</f>
        <v>0</v>
      </c>
      <c r="I55" s="72">
        <f>Julio!AH54</f>
        <v>0</v>
      </c>
      <c r="J55" s="72"/>
      <c r="K55" s="72"/>
      <c r="L55" s="72">
        <f t="shared" si="5"/>
        <v>13822812</v>
      </c>
    </row>
    <row r="56">
      <c r="A56" s="16"/>
      <c r="B56" s="7"/>
      <c r="C56" s="7"/>
      <c r="D56" s="72"/>
      <c r="E56" s="72"/>
      <c r="F56" s="72"/>
      <c r="G56" s="72"/>
      <c r="H56" s="72"/>
      <c r="J56" s="72"/>
      <c r="K56" s="72"/>
      <c r="L56" s="72"/>
    </row>
    <row r="57">
      <c r="A57" s="7"/>
      <c r="B57" s="7"/>
      <c r="C57" s="7"/>
      <c r="D57" s="67"/>
      <c r="E57" s="67"/>
      <c r="F57" s="72"/>
      <c r="G57" s="72"/>
      <c r="H57" s="72"/>
      <c r="I57" s="72"/>
      <c r="J57" s="72"/>
      <c r="K57" s="72"/>
      <c r="L57" s="72"/>
    </row>
    <row r="58">
      <c r="A58" s="35" t="s">
        <v>53</v>
      </c>
      <c r="B58" s="83">
        <f>L58/$L$9</f>
        <v>0.008418921345</v>
      </c>
      <c r="C58" s="84">
        <f>sum(C59:C66)</f>
        <v>607295</v>
      </c>
      <c r="D58" s="85">
        <f>Febrero!AH53</f>
        <v>234318</v>
      </c>
      <c r="E58" s="85">
        <f>Marzo!AH53</f>
        <v>67001</v>
      </c>
      <c r="F58" s="85">
        <f>Abril!AH54</f>
        <v>226451</v>
      </c>
      <c r="G58" s="85">
        <f>Mayo!AH55</f>
        <v>111029</v>
      </c>
      <c r="H58" s="85">
        <f>Junio!AH65</f>
        <v>553858</v>
      </c>
      <c r="I58" s="85">
        <f>Julio!AH55</f>
        <v>426549</v>
      </c>
      <c r="J58" s="85"/>
      <c r="K58" s="85"/>
      <c r="L58" s="85">
        <f t="shared" ref="L58:L79" si="6">SUM(C58:K58)</f>
        <v>2226501</v>
      </c>
    </row>
    <row r="59">
      <c r="A59" s="16" t="s">
        <v>54</v>
      </c>
      <c r="B59" s="7"/>
      <c r="C59" s="59">
        <f>Enero!AH52</f>
        <v>3944</v>
      </c>
      <c r="D59" s="72">
        <f>Febrero!AH54</f>
        <v>3937</v>
      </c>
      <c r="E59" s="72">
        <f>Marzo!AH54</f>
        <v>3950</v>
      </c>
      <c r="F59" s="72">
        <f>Abril!AH55</f>
        <v>3951</v>
      </c>
      <c r="G59" s="72">
        <f>Mayo!AH56</f>
        <v>3988</v>
      </c>
      <c r="H59" s="72">
        <f>Junio!AH66</f>
        <v>334659</v>
      </c>
      <c r="I59" s="72">
        <f>Julio!AH56</f>
        <v>4050</v>
      </c>
      <c r="J59" s="72"/>
      <c r="K59" s="72"/>
      <c r="L59" s="72">
        <f t="shared" si="6"/>
        <v>358479</v>
      </c>
    </row>
    <row r="60">
      <c r="A60" s="16" t="s">
        <v>55</v>
      </c>
      <c r="B60" s="7"/>
      <c r="C60" s="59">
        <f>Enero!AH53</f>
        <v>60000</v>
      </c>
      <c r="D60" s="72">
        <f>Febrero!AH55</f>
        <v>60000</v>
      </c>
      <c r="E60" s="72">
        <f>Marzo!AH55</f>
        <v>0</v>
      </c>
      <c r="F60" s="72">
        <f>Abril!AH56</f>
        <v>120000</v>
      </c>
      <c r="G60" s="72">
        <f>Mayo!AH57</f>
        <v>0</v>
      </c>
      <c r="H60" s="72">
        <f>Junio!AH67</f>
        <v>58245</v>
      </c>
      <c r="I60" s="72">
        <f>Julio!AH57</f>
        <v>0</v>
      </c>
      <c r="J60" s="72"/>
      <c r="K60" s="72"/>
      <c r="L60" s="72">
        <f t="shared" si="6"/>
        <v>298245</v>
      </c>
    </row>
    <row r="61">
      <c r="A61" s="16" t="s">
        <v>56</v>
      </c>
      <c r="B61" s="7"/>
      <c r="C61" s="59">
        <f>Enero!AH54</f>
        <v>347220</v>
      </c>
      <c r="D61" s="72">
        <f>Febrero!AH56</f>
        <v>0</v>
      </c>
      <c r="E61" s="72">
        <f>Marzo!AH56</f>
        <v>0</v>
      </c>
      <c r="F61" s="72">
        <f>Abril!AH57</f>
        <v>0</v>
      </c>
      <c r="G61" s="72">
        <f>Mayo!AH58</f>
        <v>0</v>
      </c>
      <c r="H61" s="72">
        <f>Junio!AH68</f>
        <v>47600</v>
      </c>
      <c r="I61" s="72">
        <f>Julio!AH58</f>
        <v>365870</v>
      </c>
      <c r="J61" s="72"/>
      <c r="K61" s="72"/>
      <c r="L61" s="72">
        <f t="shared" si="6"/>
        <v>760690</v>
      </c>
    </row>
    <row r="62">
      <c r="A62" s="16" t="s">
        <v>57</v>
      </c>
      <c r="B62" s="7"/>
      <c r="C62" s="59">
        <f>Enero!AH55</f>
        <v>101831</v>
      </c>
      <c r="D62" s="72">
        <f>Febrero!AH57</f>
        <v>30580</v>
      </c>
      <c r="E62" s="72">
        <f>Marzo!AH57</f>
        <v>29151</v>
      </c>
      <c r="F62" s="72">
        <f>Abril!AH58</f>
        <v>5000</v>
      </c>
      <c r="G62" s="72">
        <f>Mayo!AH59</f>
        <v>65441</v>
      </c>
      <c r="H62" s="72">
        <f>Junio!AH69</f>
        <v>0</v>
      </c>
      <c r="I62" s="72">
        <f>Julio!AH59</f>
        <v>28029</v>
      </c>
      <c r="J62" s="72"/>
      <c r="K62" s="72"/>
      <c r="L62" s="72">
        <f t="shared" si="6"/>
        <v>260032</v>
      </c>
    </row>
    <row r="63">
      <c r="A63" s="16" t="s">
        <v>58</v>
      </c>
      <c r="B63" s="7"/>
      <c r="C63" s="59">
        <f>Enero!AH56</f>
        <v>0</v>
      </c>
      <c r="D63" s="72">
        <f>Febrero!AH58</f>
        <v>0</v>
      </c>
      <c r="E63" s="72">
        <f>Marzo!AH58</f>
        <v>0</v>
      </c>
      <c r="F63" s="72">
        <f>Abril!AH59</f>
        <v>0</v>
      </c>
      <c r="G63" s="72">
        <f>Mayo!AH60</f>
        <v>0</v>
      </c>
      <c r="H63" s="72">
        <f>Junio!AH70</f>
        <v>102864</v>
      </c>
      <c r="I63" s="72">
        <f>Julio!AH60</f>
        <v>0</v>
      </c>
      <c r="J63" s="72"/>
      <c r="K63" s="72"/>
      <c r="L63" s="72">
        <f t="shared" si="6"/>
        <v>102864</v>
      </c>
    </row>
    <row r="64">
      <c r="A64" s="16" t="s">
        <v>59</v>
      </c>
      <c r="B64" s="7"/>
      <c r="C64" s="59">
        <f>Enero!AH57</f>
        <v>94300</v>
      </c>
      <c r="D64" s="72">
        <f>Febrero!AH59</f>
        <v>139801</v>
      </c>
      <c r="E64" s="72">
        <f>Marzo!AH59</f>
        <v>27900</v>
      </c>
      <c r="F64" s="72">
        <f>Abril!AH60</f>
        <v>500</v>
      </c>
      <c r="G64" s="72">
        <f>Mayo!AH61</f>
        <v>41600</v>
      </c>
      <c r="H64" s="72">
        <f>Junio!AH71</f>
        <v>0</v>
      </c>
      <c r="I64" s="72">
        <f>Julio!AH61</f>
        <v>28600</v>
      </c>
      <c r="J64" s="72"/>
      <c r="K64" s="72"/>
      <c r="L64" s="72">
        <f t="shared" si="6"/>
        <v>332701</v>
      </c>
    </row>
    <row r="65">
      <c r="A65" s="16" t="s">
        <v>114</v>
      </c>
      <c r="B65" s="7"/>
      <c r="C65" s="59">
        <f>Enero!AH58</f>
        <v>0</v>
      </c>
      <c r="D65" s="72">
        <f>Febrero!AH60</f>
        <v>0</v>
      </c>
      <c r="E65" s="72">
        <f>Marzo!AH60</f>
        <v>0</v>
      </c>
      <c r="F65" s="72">
        <f>Abril!AH61</f>
        <v>0</v>
      </c>
      <c r="G65" s="72">
        <f>Mayo!AH62</f>
        <v>0</v>
      </c>
      <c r="H65" s="72">
        <f>Junio!AH72</f>
        <v>0</v>
      </c>
      <c r="I65" s="72">
        <f>Julio!AH62</f>
        <v>0</v>
      </c>
      <c r="J65" s="72"/>
      <c r="K65" s="72"/>
      <c r="L65" s="72">
        <f t="shared" si="6"/>
        <v>0</v>
      </c>
    </row>
    <row r="66">
      <c r="A66" s="16" t="s">
        <v>61</v>
      </c>
      <c r="B66" s="7"/>
      <c r="C66" s="59">
        <f>Enero!AH59</f>
        <v>0</v>
      </c>
      <c r="D66" s="72">
        <f>Febrero!AH61</f>
        <v>0</v>
      </c>
      <c r="E66" s="72">
        <f>Marzo!AH61</f>
        <v>6000</v>
      </c>
      <c r="F66" s="72">
        <f>Abril!AH62</f>
        <v>97000</v>
      </c>
      <c r="G66" s="72">
        <f>Mayo!AH63</f>
        <v>0</v>
      </c>
      <c r="H66" s="72">
        <f>Junio!AH73</f>
        <v>0</v>
      </c>
      <c r="I66" s="72">
        <f>Julio!AH63</f>
        <v>0</v>
      </c>
      <c r="J66" s="72"/>
      <c r="K66" s="72"/>
      <c r="L66" s="72">
        <f t="shared" si="6"/>
        <v>103000</v>
      </c>
    </row>
    <row r="67">
      <c r="A67" s="35" t="s">
        <v>62</v>
      </c>
      <c r="B67" s="83">
        <f>L67/$L$9</f>
        <v>0.05023149339</v>
      </c>
      <c r="C67" s="88">
        <f>sum(C68:C77)</f>
        <v>1753347</v>
      </c>
      <c r="D67" s="85">
        <f>Febrero!AH63</f>
        <v>1140320</v>
      </c>
      <c r="E67" s="85">
        <f>Marzo!AH63</f>
        <v>1143911</v>
      </c>
      <c r="F67" s="85">
        <f>Abril!AH64</f>
        <v>1036832</v>
      </c>
      <c r="G67" s="85">
        <f>Mayo!AH65</f>
        <v>1220997</v>
      </c>
      <c r="H67" s="85">
        <f>Junio!AH78</f>
        <v>5941870</v>
      </c>
      <c r="I67" s="85">
        <f>Julio!AH65</f>
        <v>1047141</v>
      </c>
      <c r="J67" s="85"/>
      <c r="K67" s="85"/>
      <c r="L67" s="85">
        <f t="shared" si="6"/>
        <v>13284418</v>
      </c>
    </row>
    <row r="68">
      <c r="A68" s="16" t="s">
        <v>63</v>
      </c>
      <c r="B68" s="7"/>
      <c r="C68" s="59">
        <f>Enero!AH62</f>
        <v>217502</v>
      </c>
      <c r="D68" s="87">
        <f>Febrero!AH64</f>
        <v>326259</v>
      </c>
      <c r="E68" s="72">
        <f>Marzo!AH64</f>
        <v>327063</v>
      </c>
      <c r="F68" s="72">
        <f>Abril!AH65</f>
        <v>218638</v>
      </c>
      <c r="G68" s="72">
        <f>Mayo!AH66</f>
        <v>331380</v>
      </c>
      <c r="H68" s="72">
        <f>Junio!AH66</f>
        <v>334659</v>
      </c>
      <c r="I68" s="72">
        <f>Julio!AH66</f>
        <v>223547</v>
      </c>
      <c r="J68" s="72"/>
      <c r="K68" s="72"/>
      <c r="L68" s="72">
        <f t="shared" si="6"/>
        <v>1979048</v>
      </c>
    </row>
    <row r="69">
      <c r="A69" s="16" t="s">
        <v>64</v>
      </c>
      <c r="B69" s="7"/>
      <c r="C69" s="59">
        <f>Enero!AH63</f>
        <v>58245</v>
      </c>
      <c r="D69" s="87">
        <f>Febrero!AH65</f>
        <v>58245</v>
      </c>
      <c r="E69" s="72">
        <f>Marzo!AH65</f>
        <v>58245</v>
      </c>
      <c r="F69" s="72">
        <f>Abril!AH66</f>
        <v>58245</v>
      </c>
      <c r="G69" s="72">
        <f>Mayo!AH67</f>
        <v>58245</v>
      </c>
      <c r="H69" s="72">
        <f>Junio!AH67</f>
        <v>58245</v>
      </c>
      <c r="I69" s="72">
        <f>Julio!AH67</f>
        <v>58245</v>
      </c>
      <c r="J69" s="72"/>
      <c r="K69" s="72"/>
      <c r="L69" s="72">
        <f t="shared" si="6"/>
        <v>407715</v>
      </c>
    </row>
    <row r="70">
      <c r="A70" s="16" t="s">
        <v>65</v>
      </c>
      <c r="B70" s="7"/>
      <c r="C70" s="59">
        <f>Enero!AH64</f>
        <v>47600</v>
      </c>
      <c r="D70" s="87">
        <f>Febrero!AH66</f>
        <v>47600</v>
      </c>
      <c r="E70" s="72">
        <f>Marzo!AH66</f>
        <v>47600</v>
      </c>
      <c r="F70" s="72">
        <f>Abril!AH67</f>
        <v>47600</v>
      </c>
      <c r="G70" s="72">
        <f>Mayo!AH68</f>
        <v>47600</v>
      </c>
      <c r="H70" s="72">
        <f>Junio!AH68</f>
        <v>47600</v>
      </c>
      <c r="I70" s="72">
        <f>Julio!AH68</f>
        <v>47600</v>
      </c>
      <c r="J70" s="72"/>
      <c r="K70" s="72"/>
      <c r="L70" s="72">
        <f t="shared" si="6"/>
        <v>333200</v>
      </c>
    </row>
    <row r="71">
      <c r="A71" s="16" t="s">
        <v>66</v>
      </c>
      <c r="B71" s="7"/>
      <c r="C71" s="59">
        <f>Enero!AH65</f>
        <v>120000</v>
      </c>
      <c r="D71" s="87">
        <f>Febrero!AH67</f>
        <v>0</v>
      </c>
      <c r="E71" s="72">
        <f>Marzo!AH67</f>
        <v>0</v>
      </c>
      <c r="F71" s="72">
        <f>Abril!AH68</f>
        <v>0</v>
      </c>
      <c r="G71" s="72">
        <f>Mayo!AH69</f>
        <v>73079</v>
      </c>
      <c r="H71" s="72">
        <f>Junio!AH69</f>
        <v>0</v>
      </c>
      <c r="I71" s="72">
        <f>Julio!AH69</f>
        <v>0</v>
      </c>
      <c r="J71" s="72"/>
      <c r="K71" s="72"/>
      <c r="L71" s="72">
        <f t="shared" si="6"/>
        <v>193079</v>
      </c>
    </row>
    <row r="72">
      <c r="A72" s="16" t="s">
        <v>67</v>
      </c>
      <c r="B72" s="7"/>
      <c r="C72" s="59">
        <f>Enero!AH66</f>
        <v>110000</v>
      </c>
      <c r="D72" s="87">
        <f>Febrero!AH68</f>
        <v>99726</v>
      </c>
      <c r="E72" s="72">
        <f>Marzo!AH68</f>
        <v>102513</v>
      </c>
      <c r="F72" s="72">
        <f>Abril!AH69</f>
        <v>101859</v>
      </c>
      <c r="G72" s="72">
        <f>Mayo!AH70</f>
        <v>100203</v>
      </c>
      <c r="H72" s="72">
        <f>Junio!AH70</f>
        <v>102864</v>
      </c>
      <c r="I72" s="72">
        <f>Julio!AH70</f>
        <v>107259</v>
      </c>
      <c r="J72" s="72"/>
      <c r="K72" s="72"/>
      <c r="L72" s="72">
        <f t="shared" si="6"/>
        <v>724424</v>
      </c>
    </row>
    <row r="73">
      <c r="A73" s="16" t="s">
        <v>68</v>
      </c>
      <c r="B73" s="7"/>
      <c r="C73" s="59">
        <f>Enero!AH67</f>
        <v>0</v>
      </c>
      <c r="D73" s="87">
        <f>Febrero!AH69</f>
        <v>0</v>
      </c>
      <c r="E73" s="72">
        <f>Marzo!AH69</f>
        <v>0</v>
      </c>
      <c r="F73" s="72">
        <f>Abril!AH70</f>
        <v>0</v>
      </c>
      <c r="G73" s="72">
        <f>Mayo!AH71</f>
        <v>0</v>
      </c>
      <c r="H73" s="72">
        <f>Junio!AH71</f>
        <v>0</v>
      </c>
      <c r="I73" s="72">
        <f>Julio!AH71</f>
        <v>0</v>
      </c>
      <c r="J73" s="72"/>
      <c r="K73" s="72"/>
      <c r="L73" s="72">
        <f t="shared" si="6"/>
        <v>0</v>
      </c>
    </row>
    <row r="74">
      <c r="A74" s="16" t="s">
        <v>115</v>
      </c>
      <c r="B74" s="7"/>
      <c r="C74" s="59">
        <f>Enero!AH68</f>
        <v>0</v>
      </c>
      <c r="D74" s="87">
        <f>Febrero!AH70</f>
        <v>0</v>
      </c>
      <c r="E74" s="72">
        <f>Marzo!AH70</f>
        <v>0</v>
      </c>
      <c r="F74" s="72">
        <f>Abril!AH71</f>
        <v>0</v>
      </c>
      <c r="G74" s="72">
        <f>Mayo!AH72</f>
        <v>0</v>
      </c>
      <c r="H74" s="72">
        <f>Junio!AH72</f>
        <v>0</v>
      </c>
      <c r="I74" s="72">
        <f>Julio!AH72</f>
        <v>0</v>
      </c>
      <c r="J74" s="72"/>
      <c r="K74" s="72"/>
      <c r="L74" s="72">
        <f t="shared" si="6"/>
        <v>0</v>
      </c>
    </row>
    <row r="75">
      <c r="A75" s="16" t="s">
        <v>70</v>
      </c>
      <c r="B75" s="7"/>
      <c r="C75" s="59">
        <f>Enero!AH69</f>
        <v>0</v>
      </c>
      <c r="D75" s="87">
        <f>Febrero!AH71</f>
        <v>0</v>
      </c>
      <c r="E75" s="72">
        <f>Marzo!AH71</f>
        <v>0</v>
      </c>
      <c r="F75" s="72">
        <f>Abril!AH72</f>
        <v>0</v>
      </c>
      <c r="G75" s="72">
        <f>Mayo!AH73</f>
        <v>0</v>
      </c>
      <c r="H75" s="72">
        <f>Junio!AH73</f>
        <v>0</v>
      </c>
      <c r="I75" s="72">
        <f>Julio!AH73</f>
        <v>0</v>
      </c>
      <c r="J75" s="72"/>
      <c r="K75" s="72"/>
      <c r="L75" s="72">
        <f t="shared" si="6"/>
        <v>0</v>
      </c>
    </row>
    <row r="76">
      <c r="A76" s="16" t="s">
        <v>71</v>
      </c>
      <c r="B76" s="7"/>
      <c r="C76" s="59">
        <f>Enero!AH70</f>
        <v>0</v>
      </c>
      <c r="D76" s="87">
        <f>Febrero!AH72</f>
        <v>0</v>
      </c>
      <c r="E76" s="72">
        <f>Marzo!AH72</f>
        <v>0</v>
      </c>
      <c r="F76" s="72">
        <f>Abril!AH73</f>
        <v>0</v>
      </c>
      <c r="G76" s="72">
        <f>Mayo!AH74</f>
        <v>0</v>
      </c>
      <c r="H76" s="72">
        <f>Junio!AH74</f>
        <v>0</v>
      </c>
      <c r="I76" s="72">
        <f>Julio!AH74</f>
        <v>0</v>
      </c>
      <c r="J76" s="72"/>
      <c r="K76" s="72"/>
      <c r="L76" s="72">
        <f t="shared" si="6"/>
        <v>0</v>
      </c>
    </row>
    <row r="77">
      <c r="A77" s="7" t="s">
        <v>72</v>
      </c>
      <c r="B77" s="7"/>
      <c r="C77" s="59">
        <f>Enero!AH71</f>
        <v>1200000</v>
      </c>
      <c r="D77" s="87">
        <f>Febrero!AH73</f>
        <v>600000</v>
      </c>
      <c r="E77" s="72">
        <f>Marzo!AH73</f>
        <v>600000</v>
      </c>
      <c r="F77" s="72">
        <f>Abril!AH74</f>
        <v>600000</v>
      </c>
      <c r="G77" s="72">
        <f>Mayo!AH75</f>
        <v>600000</v>
      </c>
      <c r="H77" s="72">
        <f>Junio!AH75</f>
        <v>0</v>
      </c>
      <c r="I77" s="72">
        <f>Julio!AH75</f>
        <v>600000</v>
      </c>
      <c r="J77" s="72"/>
      <c r="K77" s="72"/>
      <c r="L77" s="72">
        <f t="shared" si="6"/>
        <v>4200000</v>
      </c>
    </row>
    <row r="78">
      <c r="A78" s="39" t="s">
        <v>73</v>
      </c>
      <c r="B78" s="89"/>
      <c r="C78" s="77"/>
      <c r="D78" s="87">
        <f>Febrero!AH74</f>
        <v>8490</v>
      </c>
      <c r="E78" s="72">
        <f>Marzo!AH74</f>
        <v>8490</v>
      </c>
      <c r="F78" s="72">
        <f>Abril!AH75</f>
        <v>10490</v>
      </c>
      <c r="G78" s="72">
        <f>Mayo!AH76</f>
        <v>10490</v>
      </c>
      <c r="H78" s="72">
        <f>Junio!AH76</f>
        <v>10490</v>
      </c>
      <c r="I78" s="72">
        <f>Julio!AH76</f>
        <v>10490</v>
      </c>
      <c r="J78" s="72"/>
      <c r="K78" s="72"/>
      <c r="L78" s="72">
        <f t="shared" si="6"/>
        <v>58940</v>
      </c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</row>
    <row r="79">
      <c r="A79" s="40" t="s">
        <v>74</v>
      </c>
      <c r="B79" s="80">
        <f>L79/$L$9</f>
        <v>0.07863238377</v>
      </c>
      <c r="C79" s="91">
        <f>sum(C80:C82)</f>
        <v>0</v>
      </c>
      <c r="D79" s="82">
        <f>Febrero!AH76</f>
        <v>0</v>
      </c>
      <c r="E79" s="82">
        <f>Marzo!AH76</f>
        <v>3300000</v>
      </c>
      <c r="F79" s="82">
        <f>Abril!AH77</f>
        <v>1657563</v>
      </c>
      <c r="G79" s="82">
        <f>Mayo!AH78</f>
        <v>3870809</v>
      </c>
      <c r="H79" s="82">
        <f>Junio!AH78</f>
        <v>5941870</v>
      </c>
      <c r="I79" s="82">
        <f>Julio!AH78</f>
        <v>6025187</v>
      </c>
      <c r="J79" s="82"/>
      <c r="K79" s="82"/>
      <c r="L79" s="82">
        <f t="shared" si="6"/>
        <v>20795429</v>
      </c>
    </row>
    <row r="80">
      <c r="A80" s="16" t="s">
        <v>75</v>
      </c>
      <c r="B80" s="7"/>
      <c r="C80" s="59">
        <f>Enero!AH74</f>
        <v>0</v>
      </c>
      <c r="D80" s="72">
        <f>Febrero!AH77</f>
        <v>0</v>
      </c>
      <c r="E80" s="72">
        <f>Marzo!AH77</f>
        <v>0</v>
      </c>
      <c r="F80" s="72">
        <f>Abril!AH78</f>
        <v>0</v>
      </c>
      <c r="G80" s="72">
        <f>Mayo!AH79</f>
        <v>0</v>
      </c>
      <c r="H80" s="72">
        <f>Junio!AH79</f>
        <v>0</v>
      </c>
      <c r="I80" s="72">
        <f>Julio!AH79</f>
        <v>0</v>
      </c>
      <c r="J80" s="72"/>
      <c r="K80" s="72"/>
      <c r="L80" s="72">
        <f t="shared" ref="L80:L83" si="7">sum(C80:K80)</f>
        <v>0</v>
      </c>
    </row>
    <row r="81">
      <c r="A81" s="16" t="s">
        <v>76</v>
      </c>
      <c r="B81" s="7"/>
      <c r="C81" s="59">
        <f>Enero!AH75</f>
        <v>0</v>
      </c>
      <c r="D81" s="72">
        <f>Febrero!AH78</f>
        <v>0</v>
      </c>
      <c r="E81" s="72">
        <f>Marzo!AH78</f>
        <v>0</v>
      </c>
      <c r="F81" s="72">
        <f>Abril!AH79</f>
        <v>0</v>
      </c>
      <c r="G81" s="72">
        <f>Mayo!AH80</f>
        <v>0</v>
      </c>
      <c r="H81" s="72">
        <f>Junio!AH80</f>
        <v>0</v>
      </c>
      <c r="I81" s="72">
        <f>Julio!AH80</f>
        <v>0</v>
      </c>
      <c r="J81" s="72"/>
      <c r="K81" s="72"/>
      <c r="L81" s="72">
        <f t="shared" si="7"/>
        <v>0</v>
      </c>
    </row>
    <row r="82">
      <c r="A82" s="16" t="s">
        <v>77</v>
      </c>
      <c r="B82" s="7"/>
      <c r="C82" s="59">
        <f>Enero!AH76</f>
        <v>0</v>
      </c>
      <c r="D82" s="72">
        <f>Febrero!AH79</f>
        <v>0</v>
      </c>
      <c r="E82" s="72">
        <f>Marzo!AH79</f>
        <v>0</v>
      </c>
      <c r="F82" s="72">
        <f>Abril!AH80</f>
        <v>0</v>
      </c>
      <c r="G82" s="72">
        <f>Mayo!AH81</f>
        <v>0</v>
      </c>
      <c r="H82" s="72">
        <f>Junio!AH81</f>
        <v>0</v>
      </c>
      <c r="I82" s="72">
        <f>Julio!AH81</f>
        <v>0</v>
      </c>
      <c r="J82" s="72"/>
      <c r="K82" s="72"/>
      <c r="L82" s="72">
        <f t="shared" si="7"/>
        <v>0</v>
      </c>
    </row>
    <row r="83">
      <c r="A83" s="39" t="s">
        <v>78</v>
      </c>
      <c r="B83" s="7"/>
      <c r="C83" s="92">
        <v>0.0</v>
      </c>
      <c r="D83" s="78">
        <v>0.0</v>
      </c>
      <c r="E83" s="72">
        <f>Marzo!AH80</f>
        <v>3300000</v>
      </c>
      <c r="F83" s="72">
        <f>Abril!AH81</f>
        <v>1657563</v>
      </c>
      <c r="G83" s="72">
        <f>Mayo!AH82</f>
        <v>3870809</v>
      </c>
      <c r="H83" s="72">
        <f>Junio!AH82</f>
        <v>5941870</v>
      </c>
      <c r="I83" s="72">
        <f>Julio!AH82</f>
        <v>6025187</v>
      </c>
      <c r="J83" s="72"/>
      <c r="K83" s="72"/>
      <c r="L83" s="72">
        <f t="shared" si="7"/>
        <v>20795429</v>
      </c>
    </row>
    <row r="84">
      <c r="A84" s="42" t="s">
        <v>79</v>
      </c>
      <c r="B84" s="93">
        <f>L84/$L$9</f>
        <v>0.09864219781</v>
      </c>
      <c r="C84" s="44">
        <f>sum(C85:C88)</f>
        <v>6403730</v>
      </c>
      <c r="D84" s="94">
        <f>Febrero!AH81</f>
        <v>4488175</v>
      </c>
      <c r="E84" s="94">
        <f>Marzo!AH82</f>
        <v>3880986</v>
      </c>
      <c r="F84" s="94">
        <f>Abril!AH83</f>
        <v>4218448</v>
      </c>
      <c r="G84" s="94">
        <f>Mayo!AH84</f>
        <v>4517937</v>
      </c>
      <c r="H84" s="94">
        <f>Junio!AH84</f>
        <v>4716348</v>
      </c>
      <c r="I84" s="94">
        <f>Julio!AH84</f>
        <v>4265409</v>
      </c>
      <c r="J84" s="94"/>
      <c r="K84" s="94"/>
      <c r="L84" s="94">
        <f>SUM(D84:K84)</f>
        <v>26087303</v>
      </c>
    </row>
    <row r="85">
      <c r="A85" s="16" t="s">
        <v>80</v>
      </c>
      <c r="B85" s="7"/>
      <c r="C85" s="59">
        <f>Enero!AH79</f>
        <v>1444619</v>
      </c>
      <c r="D85" s="72">
        <f>Febrero!AH82</f>
        <v>797270</v>
      </c>
      <c r="E85" s="72">
        <f>Marzo!AH83</f>
        <v>770152</v>
      </c>
      <c r="F85" s="72">
        <f>Abril!AH84</f>
        <v>2242241</v>
      </c>
      <c r="G85" s="72">
        <f>Mayo!AH85</f>
        <v>2657585</v>
      </c>
      <c r="H85" s="72">
        <f>Junio!AH85</f>
        <v>2518135</v>
      </c>
      <c r="I85" s="72">
        <f>Julio!AH85</f>
        <v>2758343</v>
      </c>
      <c r="J85" s="72"/>
      <c r="K85" s="72"/>
      <c r="L85" s="72">
        <f t="shared" ref="L85:L88" si="8">SUM(C85:K85)</f>
        <v>13188345</v>
      </c>
    </row>
    <row r="86">
      <c r="A86" s="16" t="s">
        <v>81</v>
      </c>
      <c r="B86" s="7"/>
      <c r="C86" s="59">
        <f>Enero!AH80</f>
        <v>0</v>
      </c>
      <c r="D86" s="72">
        <f>Febrero!AH83</f>
        <v>0</v>
      </c>
      <c r="E86" s="72">
        <f>Marzo!AH84</f>
        <v>0</v>
      </c>
      <c r="F86" s="72">
        <f>Abril!AH85</f>
        <v>1422</v>
      </c>
      <c r="G86" s="72">
        <f>Mayo!AH86</f>
        <v>0</v>
      </c>
      <c r="H86" s="72">
        <f>Junio!AH86</f>
        <v>0</v>
      </c>
      <c r="I86" s="72">
        <f>Julio!AH86</f>
        <v>0</v>
      </c>
      <c r="J86" s="72"/>
      <c r="K86" s="72"/>
      <c r="L86" s="72">
        <f t="shared" si="8"/>
        <v>1422</v>
      </c>
    </row>
    <row r="87">
      <c r="A87" s="16" t="s">
        <v>116</v>
      </c>
      <c r="B87" s="7"/>
      <c r="C87" s="59">
        <f>Enero!AH81</f>
        <v>723350</v>
      </c>
      <c r="D87" s="72">
        <f>Febrero!AH84</f>
        <v>921650</v>
      </c>
      <c r="E87" s="72">
        <f>Marzo!AH85</f>
        <v>784200</v>
      </c>
      <c r="F87" s="72">
        <f>Abril!AH86</f>
        <v>0</v>
      </c>
      <c r="G87" s="72">
        <f>Mayo!AH87</f>
        <v>49152</v>
      </c>
      <c r="H87" s="72">
        <f>Junio!AH87</f>
        <v>21640</v>
      </c>
      <c r="I87" s="72">
        <f>Julio!AH87</f>
        <v>4500</v>
      </c>
      <c r="J87" s="72"/>
      <c r="K87" s="72"/>
      <c r="L87" s="72">
        <f t="shared" si="8"/>
        <v>2504492</v>
      </c>
    </row>
    <row r="88">
      <c r="A88" s="16" t="s">
        <v>83</v>
      </c>
      <c r="B88" s="7"/>
      <c r="C88" s="59">
        <f>Enero!AH82</f>
        <v>4235761</v>
      </c>
      <c r="D88" s="72">
        <f>Febrero!AH85</f>
        <v>2769255</v>
      </c>
      <c r="E88" s="72">
        <f>Marzo!AH86</f>
        <v>2326634</v>
      </c>
      <c r="F88" s="72">
        <f>Abril!AH87</f>
        <v>1974785</v>
      </c>
      <c r="G88" s="72">
        <f>Mayo!AH88</f>
        <v>1811200</v>
      </c>
      <c r="H88" s="72">
        <f>Junio!AH88</f>
        <v>2176573</v>
      </c>
      <c r="I88" s="72">
        <f>Julio!AH88</f>
        <v>1502566</v>
      </c>
      <c r="J88" s="72"/>
      <c r="K88" s="72"/>
      <c r="L88" s="72">
        <f t="shared" si="8"/>
        <v>16796774</v>
      </c>
    </row>
    <row r="89">
      <c r="A89" s="7"/>
      <c r="B89" s="7"/>
      <c r="C89" s="7"/>
      <c r="D89" s="72"/>
      <c r="E89" s="72"/>
      <c r="F89" s="72"/>
      <c r="G89" s="72"/>
      <c r="H89" s="72"/>
      <c r="I89" s="72"/>
      <c r="J89" s="72"/>
      <c r="K89" s="72"/>
      <c r="L89" s="72"/>
    </row>
    <row r="90">
      <c r="A90" s="47" t="s">
        <v>84</v>
      </c>
      <c r="B90" s="95">
        <f>L90/$L$9</f>
        <v>0.2877796525</v>
      </c>
      <c r="C90" s="96">
        <f>sum(C91:C99)</f>
        <v>10073833</v>
      </c>
      <c r="D90" s="97">
        <f>Febrero!AH87</f>
        <v>11862991</v>
      </c>
      <c r="E90" s="97">
        <f>Marzo!AH88</f>
        <v>11215481</v>
      </c>
      <c r="F90" s="97">
        <f>Abril!AH89</f>
        <v>11762194</v>
      </c>
      <c r="G90" s="97">
        <f>Mayo!AH90</f>
        <v>11294785</v>
      </c>
      <c r="H90" s="97">
        <f>Junio!AH90</f>
        <v>10600387</v>
      </c>
      <c r="I90" s="97">
        <f>Julio!AH90</f>
        <v>9297666</v>
      </c>
      <c r="J90" s="97"/>
      <c r="K90" s="97"/>
      <c r="L90" s="97">
        <f t="shared" ref="L90:L99" si="9">SUM(C90:K90)</f>
        <v>76107337</v>
      </c>
    </row>
    <row r="91">
      <c r="A91" s="16" t="s">
        <v>85</v>
      </c>
      <c r="B91" s="7"/>
      <c r="C91" s="59">
        <f>Enero!AH85</f>
        <v>0</v>
      </c>
      <c r="D91" s="72">
        <f>Febrero!AH88</f>
        <v>0</v>
      </c>
      <c r="E91" s="72">
        <f>Marzo!AH89</f>
        <v>0</v>
      </c>
      <c r="F91" s="72">
        <f>Abril!AH90</f>
        <v>0</v>
      </c>
      <c r="G91" s="72">
        <f>Mayo!AH91</f>
        <v>0</v>
      </c>
      <c r="H91" s="72">
        <f>Junio!AH91</f>
        <v>0</v>
      </c>
      <c r="I91" s="72">
        <f>Julio!AH91</f>
        <v>0</v>
      </c>
      <c r="J91" s="72"/>
      <c r="K91" s="72"/>
      <c r="L91" s="72">
        <f t="shared" si="9"/>
        <v>0</v>
      </c>
    </row>
    <row r="92">
      <c r="A92" s="16" t="s">
        <v>86</v>
      </c>
      <c r="B92" s="7"/>
      <c r="C92" s="59">
        <f>Enero!AH86</f>
        <v>7715306</v>
      </c>
      <c r="D92" s="72">
        <f>Febrero!AH89</f>
        <v>8527664</v>
      </c>
      <c r="E92" s="72">
        <f>Marzo!AH90</f>
        <v>8843574</v>
      </c>
      <c r="F92" s="72">
        <f>Abril!AH91</f>
        <v>9577672</v>
      </c>
      <c r="G92" s="72">
        <f>Mayo!AH92</f>
        <v>8503584</v>
      </c>
      <c r="H92" s="72">
        <f>Junio!AH92</f>
        <v>7963861</v>
      </c>
      <c r="I92" s="72">
        <f>Julio!AH92</f>
        <v>7484023</v>
      </c>
      <c r="J92" s="72"/>
      <c r="K92" s="72"/>
      <c r="L92" s="72">
        <f t="shared" si="9"/>
        <v>58615684</v>
      </c>
    </row>
    <row r="93">
      <c r="A93" s="16" t="s">
        <v>87</v>
      </c>
      <c r="B93" s="7"/>
      <c r="C93" s="59">
        <f>Enero!AH87</f>
        <v>44028</v>
      </c>
      <c r="D93" s="72">
        <f>Febrero!AH90</f>
        <v>149014</v>
      </c>
      <c r="E93" s="72">
        <f>Marzo!AH91</f>
        <v>2080</v>
      </c>
      <c r="F93" s="72">
        <f>Abril!AH92</f>
        <v>12785</v>
      </c>
      <c r="G93" s="72">
        <f>Mayo!AH93</f>
        <v>19085</v>
      </c>
      <c r="H93" s="72">
        <f>Junio!AH93</f>
        <v>8085</v>
      </c>
      <c r="I93" s="72">
        <f>Julio!AH93</f>
        <v>24311</v>
      </c>
      <c r="J93" s="72"/>
      <c r="K93" s="72"/>
      <c r="L93" s="72">
        <f t="shared" si="9"/>
        <v>259388</v>
      </c>
    </row>
    <row r="94">
      <c r="A94" s="16" t="s">
        <v>88</v>
      </c>
      <c r="B94" s="7"/>
      <c r="C94" s="59">
        <f>Enero!AH88</f>
        <v>100000</v>
      </c>
      <c r="D94" s="72">
        <f>Febrero!AH91</f>
        <v>280000</v>
      </c>
      <c r="E94" s="72">
        <f>Marzo!AH92</f>
        <v>179000</v>
      </c>
      <c r="F94" s="72">
        <f>Abril!AH93</f>
        <v>0</v>
      </c>
      <c r="G94" s="72">
        <f>Mayo!AH94</f>
        <v>265000</v>
      </c>
      <c r="H94" s="72">
        <f>Junio!AH94</f>
        <v>40000</v>
      </c>
      <c r="I94" s="72">
        <f>Julio!AH94</f>
        <v>0</v>
      </c>
      <c r="J94" s="72"/>
      <c r="K94" s="72"/>
      <c r="L94" s="72">
        <f t="shared" si="9"/>
        <v>864000</v>
      </c>
    </row>
    <row r="95">
      <c r="A95" s="16" t="s">
        <v>89</v>
      </c>
      <c r="B95" s="7"/>
      <c r="C95" s="59">
        <f>Enero!AH89</f>
        <v>0</v>
      </c>
      <c r="D95" s="72">
        <f>Febrero!AH92</f>
        <v>361010</v>
      </c>
      <c r="E95" s="72">
        <f>Marzo!AH93</f>
        <v>277750</v>
      </c>
      <c r="F95" s="72">
        <f>Abril!AH94</f>
        <v>216000</v>
      </c>
      <c r="G95" s="72">
        <f>Mayo!AH95</f>
        <v>208297</v>
      </c>
      <c r="H95" s="72">
        <f>Junio!AH95</f>
        <v>378720</v>
      </c>
      <c r="I95" s="72">
        <f>Julio!AH95</f>
        <v>188625</v>
      </c>
      <c r="J95" s="72"/>
      <c r="K95" s="72"/>
      <c r="L95" s="72">
        <f t="shared" si="9"/>
        <v>1630402</v>
      </c>
    </row>
    <row r="96">
      <c r="A96" s="16" t="s">
        <v>90</v>
      </c>
      <c r="B96" s="7"/>
      <c r="C96" s="59">
        <f>Enero!AH90</f>
        <v>1923046</v>
      </c>
      <c r="D96" s="72">
        <f>Febrero!AH93</f>
        <v>1932503</v>
      </c>
      <c r="E96" s="72">
        <f>Marzo!AH94</f>
        <v>1873077</v>
      </c>
      <c r="F96" s="72">
        <f>Abril!AH95</f>
        <v>1873077</v>
      </c>
      <c r="G96" s="72">
        <f>Mayo!AH96</f>
        <v>1873879</v>
      </c>
      <c r="H96" s="72">
        <f>Junio!AH96</f>
        <v>1864821</v>
      </c>
      <c r="I96" s="72">
        <f>Julio!AH96</f>
        <v>1275707</v>
      </c>
      <c r="J96" s="72"/>
      <c r="K96" s="72"/>
      <c r="L96" s="72">
        <f t="shared" si="9"/>
        <v>12616110</v>
      </c>
    </row>
    <row r="97">
      <c r="A97" s="16" t="s">
        <v>91</v>
      </c>
      <c r="B97" s="7"/>
      <c r="C97" s="59">
        <f>Enero!AH91</f>
        <v>214850</v>
      </c>
      <c r="D97" s="72">
        <f>Febrero!AH94</f>
        <v>45000</v>
      </c>
      <c r="E97" s="72">
        <f>Marzo!AH95</f>
        <v>0</v>
      </c>
      <c r="F97" s="72">
        <f>Abril!AH96</f>
        <v>0</v>
      </c>
      <c r="G97" s="72">
        <f>Mayo!AH97</f>
        <v>0</v>
      </c>
      <c r="H97" s="72">
        <f>Junio!AH97</f>
        <v>0</v>
      </c>
      <c r="I97" s="72">
        <f>Julio!AH97</f>
        <v>0</v>
      </c>
      <c r="J97" s="72"/>
      <c r="K97" s="72"/>
      <c r="L97" s="72">
        <f t="shared" si="9"/>
        <v>259850</v>
      </c>
    </row>
    <row r="98">
      <c r="A98" s="16" t="s">
        <v>92</v>
      </c>
      <c r="B98" s="7"/>
      <c r="C98" s="59">
        <f>Enero!AH92</f>
        <v>56603</v>
      </c>
      <c r="D98" s="72">
        <f>Febrero!AH95</f>
        <v>65200</v>
      </c>
      <c r="E98" s="72">
        <f>Marzo!AH96</f>
        <v>0</v>
      </c>
      <c r="F98" s="72">
        <f>Abril!AH97</f>
        <v>0</v>
      </c>
      <c r="G98" s="72">
        <f>Mayo!AH98</f>
        <v>350000</v>
      </c>
      <c r="H98" s="72">
        <f>Junio!AH98</f>
        <v>325000</v>
      </c>
      <c r="I98" s="72">
        <f>Julio!AH98</f>
        <v>325000</v>
      </c>
      <c r="J98" s="72"/>
      <c r="K98" s="72"/>
      <c r="L98" s="72">
        <f t="shared" si="9"/>
        <v>1121803</v>
      </c>
    </row>
    <row r="99">
      <c r="A99" s="16" t="s">
        <v>93</v>
      </c>
      <c r="B99" s="7"/>
      <c r="C99" s="59">
        <f>Enero!AH93</f>
        <v>20000</v>
      </c>
      <c r="D99" s="72">
        <f>Febrero!AH96</f>
        <v>502600</v>
      </c>
      <c r="E99" s="72">
        <f>Marzo!AH97</f>
        <v>40000</v>
      </c>
      <c r="F99" s="72">
        <f>Abril!AH98</f>
        <v>82660</v>
      </c>
      <c r="G99" s="72">
        <f>Mayo!AH99</f>
        <v>74940</v>
      </c>
      <c r="H99" s="72">
        <f>Junio!AH99</f>
        <v>19900</v>
      </c>
      <c r="I99" s="72">
        <f>Julio!AH99</f>
        <v>0</v>
      </c>
      <c r="J99" s="72"/>
      <c r="K99" s="72"/>
      <c r="L99" s="72">
        <f t="shared" si="9"/>
        <v>740100</v>
      </c>
    </row>
    <row r="100">
      <c r="A100" s="7"/>
      <c r="B100" s="7"/>
      <c r="C100" s="7"/>
      <c r="D100" s="72"/>
      <c r="E100" s="72"/>
      <c r="F100" s="72"/>
      <c r="G100" s="72"/>
      <c r="H100" s="72"/>
      <c r="I100" s="72"/>
      <c r="J100" s="72"/>
      <c r="K100" s="72"/>
      <c r="L100" s="72">
        <f>SUM(C100:E100)</f>
        <v>0</v>
      </c>
    </row>
    <row r="101">
      <c r="A101" s="51" t="s">
        <v>94</v>
      </c>
      <c r="B101" s="98">
        <f>L101/$L$9</f>
        <v>0.1102547759</v>
      </c>
      <c r="C101" s="99">
        <f>sum(C102:C103)</f>
        <v>4706923</v>
      </c>
      <c r="D101" s="100">
        <f>Febrero!AH98</f>
        <v>4445746</v>
      </c>
      <c r="E101" s="100">
        <f>Marzo!AH99</f>
        <v>4779587</v>
      </c>
      <c r="F101" s="100">
        <f>Abril!AH100</f>
        <v>3953785</v>
      </c>
      <c r="G101" s="100">
        <f>Mayo!AH101</f>
        <v>3609432</v>
      </c>
      <c r="H101" s="100">
        <f>Junio!AH101</f>
        <v>4656026</v>
      </c>
      <c r="I101" s="100">
        <f>Julio!AH101</f>
        <v>3006912</v>
      </c>
      <c r="J101" s="100"/>
      <c r="K101" s="100"/>
      <c r="L101" s="100">
        <f>SUM(C101:K101)</f>
        <v>29158411</v>
      </c>
    </row>
    <row r="102">
      <c r="A102" s="16" t="s">
        <v>95</v>
      </c>
      <c r="B102" s="7"/>
      <c r="C102" s="59">
        <f>Enero!AH96</f>
        <v>0</v>
      </c>
      <c r="D102" s="72">
        <f>Febrero!AH99</f>
        <v>0</v>
      </c>
      <c r="E102" s="72">
        <f>Marzo!AH100</f>
        <v>0</v>
      </c>
      <c r="F102" s="72">
        <f>Abril!AH101</f>
        <v>0</v>
      </c>
      <c r="G102" s="72">
        <f>Mayo!AH102</f>
        <v>0</v>
      </c>
      <c r="H102" s="72">
        <f>Junio!AH102</f>
        <v>0</v>
      </c>
      <c r="I102" s="72">
        <f>Julio!AH102</f>
        <v>0</v>
      </c>
      <c r="J102" s="72"/>
      <c r="K102" s="72"/>
      <c r="L102" s="72">
        <f>C102+D102</f>
        <v>0</v>
      </c>
    </row>
    <row r="103">
      <c r="A103" s="16" t="s">
        <v>96</v>
      </c>
      <c r="B103" s="7"/>
      <c r="C103" s="59">
        <f>Enero!AH97</f>
        <v>4706923</v>
      </c>
      <c r="D103" s="72">
        <f>Febrero!AH100</f>
        <v>4445746</v>
      </c>
      <c r="E103" s="72">
        <f>Marzo!AH101</f>
        <v>4779587</v>
      </c>
      <c r="F103" s="72">
        <f>Abril!AH102</f>
        <v>3953785</v>
      </c>
      <c r="G103" s="72">
        <f>Mayo!AH103</f>
        <v>3609432</v>
      </c>
      <c r="H103" s="72">
        <f>Junio!AH103</f>
        <v>4656026</v>
      </c>
      <c r="I103" s="72">
        <f>Julio!AH103</f>
        <v>3006912</v>
      </c>
      <c r="J103" s="72"/>
      <c r="K103" s="72"/>
      <c r="L103" s="72">
        <f>SUM(C103:K103)</f>
        <v>29158411</v>
      </c>
    </row>
    <row r="104">
      <c r="A104" s="7"/>
      <c r="B104" s="7"/>
      <c r="C104" s="7"/>
      <c r="D104" s="72"/>
      <c r="E104" s="72"/>
      <c r="F104" s="72"/>
      <c r="G104" s="72"/>
      <c r="H104" s="72"/>
      <c r="I104" s="72"/>
      <c r="J104" s="72"/>
      <c r="K104" s="72"/>
      <c r="L104" s="72">
        <f>SUM(C104)</f>
        <v>0</v>
      </c>
    </row>
    <row r="105">
      <c r="A105" s="55" t="s">
        <v>97</v>
      </c>
      <c r="B105" s="83">
        <f>L105/$L$9</f>
        <v>0.02670488592</v>
      </c>
      <c r="C105" s="57">
        <f t="shared" ref="C105:D105" si="10">C106</f>
        <v>1781231</v>
      </c>
      <c r="D105" s="85">
        <f t="shared" si="10"/>
        <v>1760416</v>
      </c>
      <c r="E105" s="85">
        <f>Marzo!AH103</f>
        <v>1760416</v>
      </c>
      <c r="F105" s="85">
        <f>Abril!AH104</f>
        <v>1760416</v>
      </c>
      <c r="G105" s="85">
        <f>Mayo!AH105</f>
        <v>0</v>
      </c>
      <c r="H105" s="85">
        <f>Junio!AH105</f>
        <v>0</v>
      </c>
      <c r="I105" s="85">
        <f>Julio!AH105</f>
        <v>0</v>
      </c>
      <c r="J105" s="85"/>
      <c r="K105" s="85"/>
      <c r="L105" s="85">
        <f t="shared" ref="L105:L106" si="11">SUM(C105:K105)</f>
        <v>7062479</v>
      </c>
    </row>
    <row r="106">
      <c r="A106" s="16" t="s">
        <v>98</v>
      </c>
      <c r="B106" s="7"/>
      <c r="C106" s="10">
        <f>Enero!AH100</f>
        <v>1781231</v>
      </c>
      <c r="D106" s="72">
        <f>Febrero!AH102</f>
        <v>1760416</v>
      </c>
      <c r="E106" s="72">
        <f>Marzo!AH104</f>
        <v>1760416</v>
      </c>
      <c r="F106" s="72">
        <f>Abril!AH105</f>
        <v>1760416</v>
      </c>
      <c r="G106" s="72">
        <f>Mayo!AH106</f>
        <v>0</v>
      </c>
      <c r="H106" s="72">
        <f>Junio!AH106</f>
        <v>0</v>
      </c>
      <c r="I106" s="72">
        <f>Julio!AH106</f>
        <v>0</v>
      </c>
      <c r="J106" s="72"/>
      <c r="K106" s="72"/>
      <c r="L106" s="72">
        <f t="shared" si="11"/>
        <v>7062479</v>
      </c>
    </row>
    <row r="107">
      <c r="A107" s="7"/>
      <c r="B107" s="7"/>
      <c r="C107" s="7"/>
      <c r="D107" s="72"/>
      <c r="E107" s="72"/>
      <c r="F107" s="72"/>
      <c r="G107" s="72"/>
      <c r="H107" s="72"/>
      <c r="I107" s="72"/>
      <c r="J107" s="72"/>
      <c r="K107" s="72"/>
      <c r="L107" s="72">
        <f>SUM(C107)</f>
        <v>0</v>
      </c>
    </row>
    <row r="108">
      <c r="A108" s="60" t="s">
        <v>99</v>
      </c>
      <c r="B108" s="101"/>
      <c r="C108" s="102">
        <f t="shared" ref="C108:I108" si="12">C101+C90+C84+C79+C35+C11</f>
        <v>42249242</v>
      </c>
      <c r="D108" s="102">
        <f t="shared" si="12"/>
        <v>43286170</v>
      </c>
      <c r="E108" s="102">
        <f t="shared" si="12"/>
        <v>43182111</v>
      </c>
      <c r="F108" s="102">
        <f t="shared" si="12"/>
        <v>41232134</v>
      </c>
      <c r="G108" s="102">
        <f t="shared" si="12"/>
        <v>43298249</v>
      </c>
      <c r="H108" s="102">
        <f t="shared" si="12"/>
        <v>43053693</v>
      </c>
      <c r="I108" s="102">
        <f t="shared" si="12"/>
        <v>40761045</v>
      </c>
      <c r="J108" s="103"/>
      <c r="K108" s="103"/>
      <c r="L108" s="103">
        <f t="shared" ref="L108:L109" si="14">SUM(C108:K108)</f>
        <v>297062644</v>
      </c>
    </row>
    <row r="109">
      <c r="A109" s="64" t="s">
        <v>100</v>
      </c>
      <c r="B109" s="101"/>
      <c r="C109" s="102">
        <f t="shared" ref="C109:I109" si="13">C108-C84</f>
        <v>35845512</v>
      </c>
      <c r="D109" s="102">
        <f t="shared" si="13"/>
        <v>38797995</v>
      </c>
      <c r="E109" s="102">
        <f t="shared" si="13"/>
        <v>39301125</v>
      </c>
      <c r="F109" s="102">
        <f t="shared" si="13"/>
        <v>37013686</v>
      </c>
      <c r="G109" s="102">
        <f t="shared" si="13"/>
        <v>38780312</v>
      </c>
      <c r="H109" s="102">
        <f t="shared" si="13"/>
        <v>38337345</v>
      </c>
      <c r="I109" s="102">
        <f t="shared" si="13"/>
        <v>36495636</v>
      </c>
      <c r="J109" s="103"/>
      <c r="K109" s="103"/>
      <c r="L109" s="103">
        <f t="shared" si="14"/>
        <v>264571611</v>
      </c>
    </row>
    <row r="110">
      <c r="A110" s="7"/>
      <c r="B110" s="7"/>
      <c r="C110" s="7"/>
      <c r="D110" s="72"/>
      <c r="E110" s="72"/>
      <c r="F110" s="72"/>
      <c r="G110" s="72"/>
      <c r="H110" s="72"/>
      <c r="I110" s="72"/>
      <c r="J110" s="72"/>
      <c r="K110" s="72"/>
      <c r="L110" s="72">
        <f>SUM(C110)</f>
        <v>0</v>
      </c>
    </row>
    <row r="111">
      <c r="A111" s="104" t="s">
        <v>101</v>
      </c>
      <c r="B111" s="89">
        <f>L111/$L$9</f>
        <v>-0.0004071784051</v>
      </c>
      <c r="C111" s="59">
        <f t="shared" ref="C111:I111" si="15">C9-C109</f>
        <v>3448757</v>
      </c>
      <c r="D111" s="59">
        <f t="shared" si="15"/>
        <v>2847310</v>
      </c>
      <c r="E111" s="59">
        <f t="shared" si="15"/>
        <v>-2361665</v>
      </c>
      <c r="F111" s="59">
        <f t="shared" si="15"/>
        <v>-573694</v>
      </c>
      <c r="G111" s="59">
        <f t="shared" si="15"/>
        <v>-142338</v>
      </c>
      <c r="H111" s="59">
        <f t="shared" si="15"/>
        <v>-587893</v>
      </c>
      <c r="I111" s="59">
        <f t="shared" si="15"/>
        <v>-2738161</v>
      </c>
      <c r="J111" s="72"/>
      <c r="K111" s="72"/>
      <c r="L111" s="72">
        <f>SUM(C111:K111)</f>
        <v>-107684</v>
      </c>
    </row>
    <row r="112">
      <c r="A112" s="7"/>
      <c r="B112" s="7"/>
      <c r="C112" s="7"/>
      <c r="D112" s="67"/>
      <c r="E112" s="67"/>
      <c r="F112" s="67"/>
      <c r="G112" s="67"/>
      <c r="H112" s="67"/>
      <c r="I112" s="67"/>
      <c r="J112" s="67"/>
      <c r="K112" s="67"/>
      <c r="L112" s="67"/>
    </row>
    <row r="113">
      <c r="A113" s="7"/>
      <c r="B113" s="7"/>
      <c r="C113" s="7"/>
      <c r="D113" s="67"/>
      <c r="E113" s="67"/>
      <c r="F113" s="67"/>
      <c r="G113" s="67"/>
      <c r="H113" s="67"/>
      <c r="I113" s="67"/>
      <c r="J113" s="67"/>
      <c r="K113" s="67"/>
      <c r="L113" s="67"/>
    </row>
  </sheetData>
  <drawing r:id="rId1"/>
</worksheet>
</file>